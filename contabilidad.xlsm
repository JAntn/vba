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135" windowWidth="27795" windowHeight="12345" activeTab="6"/>
  </bookViews>
  <sheets>
    <sheet name="Nuevo Producto" sheetId="6" r:id="rId1"/>
    <sheet name="Eliminar Producto" sheetId="12" r:id="rId2"/>
    <sheet name="Editar Producto" sheetId="10" r:id="rId3"/>
    <sheet name="Agregar Venta" sheetId="1" r:id="rId4"/>
    <sheet name="Grafica Mes" sheetId="4" r:id="rId5"/>
    <sheet name="Productos" sheetId="5" r:id="rId6"/>
    <sheet name="Registros" sheetId="11" r:id="rId7"/>
    <sheet name="2013" sheetId="9" r:id="rId8"/>
    <sheet name="2014" sheetId="2" r:id="rId9"/>
    <sheet name="2015" sheetId="3" r:id="rId10"/>
    <sheet name="Plantilla Anyo" sheetId="7" r:id="rId11"/>
  </sheets>
  <functionGroups builtInGroupCount="17"/>
  <definedNames>
    <definedName name="AgregarVenta_Anyo">'Agregar Venta'!$H$13</definedName>
    <definedName name="AgregarVenta_HojaProductosFila">'Agregar Venta'!$W$4</definedName>
    <definedName name="AgregarVenta_ID">'Agregar Venta'!$I$17</definedName>
    <definedName name="AgregarVenta_Mes">'Agregar Venta'!$W$17</definedName>
    <definedName name="AgregarVenta_MesVenta">'Agregar Venta'!$W$17</definedName>
    <definedName name="AgregarVenta_ProductoFila">'Agregar Venta'!$W$4</definedName>
    <definedName name="AgregarVenta_UnidadesVendidas">'Agregar Venta'!$H$7</definedName>
    <definedName name="EditarProducto_Descripcion">'Editar Producto'!$H$13</definedName>
    <definedName name="EditarProducto_HojaProductosFila">'Editar Producto'!$V$4</definedName>
    <definedName name="EditarProducto_Nombre">'Editar Producto'!$H$7</definedName>
    <definedName name="EditarProducto_PrecioUnidad">'Editar Producto'!$H$10</definedName>
    <definedName name="EliminarProducto_HojaProductosFila">'Eliminar Producto'!$V$3</definedName>
    <definedName name="GraficaMes_Anyo">'Grafica Mes'!$H$7</definedName>
    <definedName name="GraficaMes_HojaProductosFila">'Grafica Mes'!$W$4</definedName>
    <definedName name="GraficaMes_Mensaje">'Grafica Mes'!$W$5</definedName>
    <definedName name="GraficaMes_ProductosCantidad">'Grafica Mes'!$W$6</definedName>
    <definedName name="NuevoProducto_Descripcion">'Nuevo Producto'!$D$13</definedName>
    <definedName name="NuevoProducto_Nombre">'Nuevo Producto'!$D$7</definedName>
    <definedName name="NuevoProducto_PrecioUnidad">'Nuevo Producto'!$D$10</definedName>
    <definedName name="Producto_Fila">'Agregar Venta'!$W$4</definedName>
    <definedName name="Producto_NumeroFila">'Agregar Venta'!$W$4</definedName>
    <definedName name="Productos_Cantidad" comment="Contador de productos">Productos!$H$1</definedName>
    <definedName name="Productos_IdContador">Productos!$F$1</definedName>
    <definedName name="Registros_Cantidad">Registros!$F$1</definedName>
    <definedName name="Registros_IdContador">Registros!$D$1</definedName>
    <definedName name="Unidades_Vendidas">'Agregar Venta'!$H$7</definedName>
  </definedNames>
  <calcPr calcId="144525"/>
</workbook>
</file>

<file path=xl/calcChain.xml><?xml version="1.0" encoding="utf-8"?>
<calcChain xmlns="http://schemas.openxmlformats.org/spreadsheetml/2006/main">
  <c r="K28" i="10" l="1"/>
  <c r="K30" i="12" l="1"/>
  <c r="K31" i="12"/>
  <c r="K29" i="12"/>
  <c r="K28" i="12"/>
  <c r="K28" i="4" l="1"/>
  <c r="K28" i="1" l="1"/>
  <c r="K31" i="10"/>
  <c r="K30" i="10"/>
  <c r="K29" i="10"/>
  <c r="K30" i="1" l="1"/>
  <c r="K27" i="1"/>
  <c r="K27" i="4"/>
  <c r="K25" i="4"/>
  <c r="K25" i="1"/>
  <c r="E20" i="6"/>
  <c r="G28" i="6" s="1"/>
  <c r="K26" i="1"/>
  <c r="K26" i="4"/>
  <c r="G30" i="6" l="1"/>
  <c r="G31" i="6"/>
  <c r="G29" i="6"/>
  <c r="K29" i="4"/>
  <c r="K29" i="1"/>
  <c r="K31" i="1"/>
</calcChain>
</file>

<file path=xl/sharedStrings.xml><?xml version="1.0" encoding="utf-8"?>
<sst xmlns="http://schemas.openxmlformats.org/spreadsheetml/2006/main" count="227" uniqueCount="100">
  <si>
    <t>cocacola</t>
  </si>
  <si>
    <t>fanta</t>
  </si>
  <si>
    <t>tortilla</t>
  </si>
  <si>
    <t>Id</t>
  </si>
  <si>
    <t>Nombre Producto</t>
  </si>
  <si>
    <t>Mes</t>
  </si>
  <si>
    <t>Nombre Producto:</t>
  </si>
  <si>
    <t>Resumen</t>
  </si>
  <si>
    <t>Data</t>
  </si>
  <si>
    <t>Cantidad:</t>
  </si>
  <si>
    <t>Mes: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</si>
  <si>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</si>
  <si>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</si>
  <si>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</si>
  <si>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</si>
  <si>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</si>
  <si>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</si>
  <si>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</si>
  <si>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</si>
  <si>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</si>
  <si>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</si>
  <si>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</si>
  <si>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</si>
  <si>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Año:</t>
  </si>
  <si>
    <t>Año</t>
  </si>
  <si>
    <t>Gráfica Mes</t>
  </si>
  <si>
    <t>Numero de fila en la hoja de productos</t>
  </si>
  <si>
    <t>Id Contador</t>
  </si>
  <si>
    <t>Producto Cantidad</t>
  </si>
  <si>
    <t>Unidades vendidas</t>
  </si>
  <si>
    <t>Descripción</t>
  </si>
  <si>
    <t>Precio Unidad (Euros)</t>
  </si>
  <si>
    <t>Precio Unidad:</t>
  </si>
  <si>
    <t>Descripcion</t>
  </si>
  <si>
    <t>Descripcion:</t>
  </si>
  <si>
    <t>Queso manchego Gran capitan</t>
  </si>
  <si>
    <t>Etiqueta verde</t>
  </si>
  <si>
    <t>Mes del año</t>
  </si>
  <si>
    <t>Queso manchego Gran capitan 4</t>
  </si>
  <si>
    <t>ID:</t>
  </si>
  <si>
    <t>Descripción:</t>
  </si>
  <si>
    <t>Nuevo Producto</t>
  </si>
  <si>
    <t>Agregar Venta</t>
  </si>
  <si>
    <t>Pincho calamares</t>
  </si>
  <si>
    <t>Patatas bravas</t>
  </si>
  <si>
    <t>Con salsa</t>
  </si>
  <si>
    <t>N. Productos</t>
  </si>
  <si>
    <t>Editar Producto</t>
  </si>
  <si>
    <t>Seleccionar Producto</t>
  </si>
  <si>
    <t>Salmon ahumado</t>
  </si>
  <si>
    <t>Noruega</t>
  </si>
  <si>
    <t>Pincho pollo</t>
  </si>
  <si>
    <t>Servido con patatas</t>
  </si>
  <si>
    <t>Cerveza</t>
  </si>
  <si>
    <t>Pimientos</t>
  </si>
  <si>
    <t>ID Producto:</t>
  </si>
  <si>
    <t>ID Registro</t>
  </si>
  <si>
    <t>Registros Cantidad</t>
  </si>
  <si>
    <t>OP: Agregar Venta; ID Producto: 109;Unidades Vendidas: 32</t>
  </si>
  <si>
    <t>Lomo</t>
  </si>
  <si>
    <t>Del super</t>
  </si>
  <si>
    <t>OP: Nuevo Producto; ID Producto: 114</t>
  </si>
  <si>
    <t>OP: Editar Producto; ID Producto: 101</t>
  </si>
  <si>
    <t>Etiqueta Oscura</t>
  </si>
  <si>
    <t>OP: Agregar Venta; ID Producto: 101;Unidades Vendidas: 32</t>
  </si>
  <si>
    <t>OP: Agregar Venta; ID Producto: 112;Unidades Vendidas: 32</t>
  </si>
  <si>
    <t>Eliminar Producto</t>
  </si>
  <si>
    <t>Merluza</t>
  </si>
  <si>
    <t>Cantabrico</t>
  </si>
  <si>
    <t>OP: Nuevo Producto; ID Producto: 115</t>
  </si>
  <si>
    <t>OP: Editar Producto; ID Producto: 110</t>
  </si>
  <si>
    <t>Café</t>
  </si>
  <si>
    <t>Bonka</t>
  </si>
  <si>
    <t>OP: Nuevo Producto; ID Producto: 116</t>
  </si>
  <si>
    <t>OP: Editar Producto; ID Producto: 116</t>
  </si>
  <si>
    <t>OP: Eliminar Producto; ID Producto: 110</t>
  </si>
  <si>
    <t>Calamares romana</t>
  </si>
  <si>
    <t>Caña</t>
  </si>
  <si>
    <t>En vaso de caña</t>
  </si>
  <si>
    <t>OP: Nuevo Producto; ID Producto: 117</t>
  </si>
  <si>
    <t>OP: Eliminar Producto; ID Producto: 1025</t>
  </si>
  <si>
    <t>OP: Eliminar Producto; ID Producto: 113</t>
  </si>
  <si>
    <t>Caviar Beluga</t>
  </si>
  <si>
    <t>Baltico</t>
  </si>
  <si>
    <t>OP: Nuevo Producto; ID Producto: 118</t>
  </si>
  <si>
    <t>OP: Eliminar Producto; ID Producto: 118</t>
  </si>
  <si>
    <t>OP: Nuevo Producto; ID Producto: 119</t>
  </si>
  <si>
    <t>OP: Eliminar Producto; ID Producto: 115</t>
  </si>
  <si>
    <t>OP: Nuevo Producto; ID Producto: 120</t>
  </si>
  <si>
    <t>Rebozado</t>
  </si>
  <si>
    <t>OP: Editar Producto; ID Producto: 108</t>
  </si>
  <si>
    <t>Fanta</t>
  </si>
  <si>
    <t>OP: Editar Producto; ID Producto: 102</t>
  </si>
  <si>
    <t>Tortilla</t>
  </si>
  <si>
    <t>OP: Editar Producto; ID Producto: 103</t>
  </si>
  <si>
    <t>OP: Editar Producto; ID Producto: 109</t>
  </si>
  <si>
    <t>OP: Editar Producto; ID Producto: 111</t>
  </si>
  <si>
    <t>Unidades vendidas de Tortilla en el año 2014</t>
  </si>
  <si>
    <t>OP: Agregar Venta; ID Producto: 119;Unidades Vendidas: 1;Mes: Marzo;Año: 2015</t>
  </si>
  <si>
    <t>OP: Agregar Venta; ID Producto: 105;Unidades Vendidas: 3;Mes: Marzo;Año: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</si>
</sst>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12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0" applyNumberFormat="0" applyFill="0" applyBorder="0" applyAlignment="0" applyProtection="0"/>
    <xf numFmtId="0" fontId="3" fillId="9" borderId="0" applyNumberFormat="0" applyBorder="0" applyAlignment="0" applyProtection="0"/>
    <xf numFmtId="0" fontId="1" fillId="10" borderId="0" applyNumberFormat="0" applyBorder="0" applyAlignment="0" applyProtection="0"/>
    <xf numFmtId="0" fontId="3" fillId="11" borderId="0" applyNumberFormat="0" applyBorder="0" applyAlignment="0" applyProtection="0"/>
  </cellStyleXfs>
  <cellXfs count="88">
    <xf numFmtId="0" fontId="0" fillId="0" borderId="0" xfId="0"/>
    <xf numFmtId="0" fontId="0" fillId="0" borderId="0" xfId="0" applyBorder="1"/>
    <xf numFmtId="0" fontId="0" fillId="0" borderId="6" xfId="0" applyBorder="1"/>
    <xf numFmtId="0" fontId="1" fillId="4" borderId="0" xfId="3" applyBorder="1"/>
    <xf numFmtId="0" fontId="1" fillId="4" borderId="0" xfId="3"/>
    <xf numFmtId="0" fontId="3" fillId="3" borderId="0" xfId="2" applyBorder="1"/>
    <xf numFmtId="0" fontId="2" fillId="2" borderId="1" xfId="1"/>
    <xf numFmtId="0" fontId="0" fillId="0" borderId="5" xfId="0" applyBorder="1"/>
    <xf numFmtId="0" fontId="3" fillId="8" borderId="8" xfId="7" applyBorder="1" applyAlignment="1"/>
    <xf numFmtId="0" fontId="3" fillId="8" borderId="8" xfId="7" applyBorder="1"/>
    <xf numFmtId="0" fontId="1" fillId="4" borderId="0" xfId="3" applyBorder="1" applyAlignment="1"/>
    <xf numFmtId="0" fontId="0" fillId="0" borderId="0" xfId="0" applyBorder="1" applyAlignment="1">
      <alignment horizontal="center"/>
    </xf>
    <xf numFmtId="0" fontId="3" fillId="5" borderId="0" xfId="4"/>
    <xf numFmtId="0" fontId="5" fillId="3" borderId="8" xfId="2" applyFont="1" applyBorder="1"/>
    <xf numFmtId="0" fontId="6" fillId="4" borderId="0" xfId="3" applyFont="1" applyBorder="1"/>
    <xf numFmtId="0" fontId="6" fillId="4" borderId="0" xfId="3" applyFont="1" applyBorder="1" applyAlignment="1">
      <alignment horizontal="left"/>
    </xf>
    <xf numFmtId="0" fontId="6" fillId="4" borderId="0" xfId="3" applyFont="1" applyAlignment="1">
      <alignment horizontal="left"/>
    </xf>
    <xf numFmtId="0" fontId="6" fillId="4" borderId="0" xfId="3" applyFont="1"/>
    <xf numFmtId="0" fontId="1" fillId="4" borderId="0" xfId="3"/>
    <xf numFmtId="0" fontId="1" fillId="4" borderId="0" xfId="3" applyAlignment="1"/>
    <xf numFmtId="0" fontId="1" fillId="10" borderId="0" xfId="10"/>
    <xf numFmtId="0" fontId="3" fillId="11" borderId="0" xfId="11"/>
    <xf numFmtId="0" fontId="0" fillId="0" borderId="0" xfId="0" applyAlignment="1"/>
    <xf numFmtId="0" fontId="1" fillId="10" borderId="0" xfId="10" applyBorder="1"/>
    <xf numFmtId="0" fontId="6" fillId="10" borderId="0" xfId="10" applyFont="1" applyBorder="1"/>
    <xf numFmtId="0" fontId="3" fillId="11" borderId="0" xfId="11" applyBorder="1"/>
    <xf numFmtId="0" fontId="3" fillId="5" borderId="0" xfId="4" applyBorder="1"/>
    <xf numFmtId="0" fontId="3" fillId="9" borderId="0" xfId="9" applyBorder="1" applyAlignment="1"/>
    <xf numFmtId="0" fontId="3" fillId="9" borderId="0" xfId="9" applyBorder="1"/>
    <xf numFmtId="0" fontId="3" fillId="11" borderId="0" xfId="11" applyBorder="1" applyAlignment="1"/>
    <xf numFmtId="0" fontId="6" fillId="4" borderId="0" xfId="3" applyFont="1" applyBorder="1" applyAlignment="1"/>
    <xf numFmtId="0" fontId="6" fillId="4" borderId="0" xfId="3" applyFont="1" applyBorder="1" applyAlignment="1">
      <alignment vertical="top"/>
    </xf>
    <xf numFmtId="0" fontId="6" fillId="10" borderId="0" xfId="10" applyFont="1"/>
    <xf numFmtId="0" fontId="3" fillId="5" borderId="1" xfId="4" applyBorder="1"/>
    <xf numFmtId="0" fontId="7" fillId="0" borderId="0" xfId="8"/>
    <xf numFmtId="0" fontId="3" fillId="5" borderId="5" xfId="4" applyBorder="1"/>
    <xf numFmtId="0" fontId="8" fillId="3" borderId="0" xfId="2" applyFont="1" applyBorder="1" applyAlignment="1">
      <alignment horizontal="center"/>
    </xf>
    <xf numFmtId="0" fontId="2" fillId="2" borderId="2" xfId="1" applyBorder="1" applyAlignment="1">
      <alignment horizontal="center"/>
    </xf>
    <xf numFmtId="0" fontId="6" fillId="4" borderId="0" xfId="3" applyFont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6" fillId="7" borderId="3" xfId="6" applyFont="1" applyBorder="1" applyAlignment="1">
      <alignment horizontal="center" vertical="center"/>
    </xf>
    <xf numFmtId="0" fontId="6" fillId="7" borderId="4" xfId="6" applyFont="1" applyBorder="1" applyAlignment="1">
      <alignment horizontal="center" vertical="center"/>
    </xf>
    <xf numFmtId="0" fontId="6" fillId="7" borderId="0" xfId="6" applyFont="1" applyBorder="1" applyAlignment="1">
      <alignment horizontal="center" vertical="center"/>
    </xf>
    <xf numFmtId="0" fontId="6" fillId="7" borderId="6" xfId="6" applyFont="1" applyBorder="1" applyAlignment="1">
      <alignment horizontal="center" vertical="center"/>
    </xf>
    <xf numFmtId="0" fontId="6" fillId="7" borderId="8" xfId="6" applyFont="1" applyBorder="1" applyAlignment="1">
      <alignment horizontal="center" vertical="center"/>
    </xf>
    <xf numFmtId="0" fontId="6" fillId="7" borderId="9" xfId="6" applyFont="1" applyBorder="1" applyAlignment="1">
      <alignment horizontal="center" vertical="center"/>
    </xf>
    <xf numFmtId="0" fontId="6" fillId="6" borderId="10" xfId="5" applyFont="1" applyBorder="1" applyAlignment="1">
      <alignment horizontal="center" vertical="center"/>
    </xf>
    <xf numFmtId="0" fontId="6" fillId="6" borderId="5" xfId="5" applyFont="1" applyBorder="1" applyAlignment="1">
      <alignment horizontal="center" vertical="center"/>
    </xf>
    <xf numFmtId="0" fontId="6" fillId="6" borderId="7" xfId="5" applyFont="1" applyBorder="1" applyAlignment="1">
      <alignment horizontal="center" vertical="center"/>
    </xf>
    <xf numFmtId="0" fontId="6" fillId="10" borderId="0" xfId="10" applyFont="1" applyBorder="1" applyAlignment="1">
      <alignment horizontal="left" vertical="top"/>
    </xf>
    <xf numFmtId="0" fontId="6" fillId="10" borderId="0" xfId="10" applyFont="1" applyBorder="1" applyAlignment="1">
      <alignment horizontal="left"/>
    </xf>
    <xf numFmtId="0" fontId="8" fillId="5" borderId="0" xfId="4" applyFont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17" xfId="1" applyBorder="1" applyAlignment="1">
      <alignment horizontal="center"/>
    </xf>
    <xf numFmtId="0" fontId="6" fillId="4" borderId="0" xfId="3" applyFont="1" applyBorder="1" applyAlignment="1">
      <alignment horizontal="left" vertical="top"/>
    </xf>
    <xf numFmtId="0" fontId="6" fillId="4" borderId="0" xfId="3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1" fillId="4" borderId="0" xfId="3"/>
    <xf numFmtId="0" fontId="2" fillId="2" borderId="18" xfId="1" applyBorder="1" applyAlignment="1">
      <alignment horizontal="center"/>
    </xf>
    <xf numFmtId="0" fontId="2" fillId="2" borderId="14" xfId="1" applyBorder="1" applyAlignment="1">
      <alignment horizontal="center"/>
    </xf>
    <xf numFmtId="0" fontId="2" fillId="2" borderId="19" xfId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2" borderId="1" xfId="1" applyAlignment="1">
      <alignment horizontal="center"/>
    </xf>
  </cellXfs>
  <cellStyles count="12">
    <cellStyle name="20% - Accent1" xfId="3" builtinId="30"/>
    <cellStyle name="20% - Accent2" xfId="10" builtinId="34"/>
    <cellStyle name="20% - Accent3" xfId="5" builtinId="38"/>
    <cellStyle name="40% - Accent3" xfId="6" builtinId="39"/>
    <cellStyle name="60% - Accent1" xfId="9" builtinId="32"/>
    <cellStyle name="60% - Accent2" xfId="11" builtinId="36"/>
    <cellStyle name="Accent1" xfId="2" builtinId="29"/>
    <cellStyle name="Accent2" xfId="4" builtinId="33"/>
    <cellStyle name="Accent4" xfId="7" builtinId="41"/>
    <cellStyle name="Explanatory Text" xfId="8" builtinId="5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Unidades vendidas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Unidades vendidas de Tortilla en el año 2014</c:v>
          </c:tx>
          <c:invertIfNegative val="0"/>
          <c:cat>
            <c:strRef>
              <c:f>'Grafica Mes'!$C$63:$N$63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'Grafica Mes'!$C$64:$N$64</c:f>
              <c:numCache>
                <c:formatCode>General</c:formatCode>
                <c:ptCount val="12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696768"/>
        <c:axId val="179698304"/>
      </c:barChart>
      <c:catAx>
        <c:axId val="17969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9698304"/>
        <c:crosses val="autoZero"/>
        <c:auto val="1"/>
        <c:lblAlgn val="ctr"/>
        <c:lblOffset val="100"/>
        <c:noMultiLvlLbl val="0"/>
      </c:catAx>
      <c:valAx>
        <c:axId val="179698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96967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16" fmlaLink="EliminarProducto_HojaProductosFila" fmlaRange="Productos!B2:B16" noThreeD="1" sel="12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List" dx="16" fmlaLink="EditarProducto_HojaProductosFila" fmlaRange="Productos!B2:B16" noThreeD="1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Link="AgregarVenta_Mes" fmlaRange="$W$5:$W$16" noThreeD="1" val="0"/>
</file>

<file path=xl/ctrlProps/ctrlProp8.xml><?xml version="1.0" encoding="utf-8"?>
<formControlPr xmlns="http://schemas.microsoft.com/office/spreadsheetml/2009/9/main" objectType="List" dx="16" fmlaLink="AgregarVenta_HojaProductosFila" fmlaRange="Productos!B2:B16" noThreeD="1" sel="14" val="0"/>
</file>

<file path=xl/ctrlProps/ctrlProp9.xml><?xml version="1.0" encoding="utf-8"?>
<formControlPr xmlns="http://schemas.microsoft.com/office/spreadsheetml/2009/9/main" objectType="List" dx="16" fmlaLink="GraficaMes_HojaProductosFila" fmlaRange="Productos!B2:B16" noThreeD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20</xdr:row>
          <xdr:rowOff>47625</xdr:rowOff>
        </xdr:from>
        <xdr:to>
          <xdr:col>11</xdr:col>
          <xdr:colOff>666750</xdr:colOff>
          <xdr:row>21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20</xdr:row>
          <xdr:rowOff>47625</xdr:rowOff>
        </xdr:from>
        <xdr:to>
          <xdr:col>15</xdr:col>
          <xdr:colOff>666750</xdr:colOff>
          <xdr:row>21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180975</xdr:rowOff>
        </xdr:from>
        <xdr:to>
          <xdr:col>6</xdr:col>
          <xdr:colOff>0</xdr:colOff>
          <xdr:row>34</xdr:row>
          <xdr:rowOff>161925</xdr:rowOff>
        </xdr:to>
        <xdr:sp macro="" textlink="">
          <xdr:nvSpPr>
            <xdr:cNvPr id="24578" name="EliminarProducto_ProductoLBx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20</xdr:row>
          <xdr:rowOff>47625</xdr:rowOff>
        </xdr:from>
        <xdr:to>
          <xdr:col>15</xdr:col>
          <xdr:colOff>666750</xdr:colOff>
          <xdr:row>21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180975</xdr:rowOff>
        </xdr:from>
        <xdr:to>
          <xdr:col>6</xdr:col>
          <xdr:colOff>0</xdr:colOff>
          <xdr:row>34</xdr:row>
          <xdr:rowOff>123825</xdr:rowOff>
        </xdr:to>
        <xdr:sp macro="" textlink="">
          <xdr:nvSpPr>
            <xdr:cNvPr id="15362" name="EditarProducto_ProductoListBox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17</xdr:row>
          <xdr:rowOff>47625</xdr:rowOff>
        </xdr:from>
        <xdr:to>
          <xdr:col>15</xdr:col>
          <xdr:colOff>666750</xdr:colOff>
          <xdr:row>18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11</xdr:col>
          <xdr:colOff>0</xdr:colOff>
          <xdr:row>10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9524</xdr:rowOff>
        </xdr:from>
        <xdr:to>
          <xdr:col>6</xdr:col>
          <xdr:colOff>0</xdr:colOff>
          <xdr:row>31</xdr:row>
          <xdr:rowOff>238124</xdr:rowOff>
        </xdr:to>
        <xdr:sp macro="" textlink="">
          <xdr:nvSpPr>
            <xdr:cNvPr id="2054" name="AgregarVenta_ProductoListBox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4097" name="GraficaMes_ProductoListBox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17</xdr:row>
          <xdr:rowOff>47625</xdr:rowOff>
        </xdr:from>
        <xdr:to>
          <xdr:col>15</xdr:col>
          <xdr:colOff>666750</xdr:colOff>
          <xdr:row>18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714374</xdr:colOff>
      <xdr:row>33</xdr:row>
      <xdr:rowOff>190498</xdr:rowOff>
    </xdr:from>
    <xdr:to>
      <xdr:col>16</xdr:col>
      <xdr:colOff>704850</xdr:colOff>
      <xdr:row>58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38100</xdr:rowOff>
        </xdr:from>
        <xdr:to>
          <xdr:col>15</xdr:col>
          <xdr:colOff>676275</xdr:colOff>
          <xdr:row>15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3:M36"/>
  <sheetViews>
    <sheetView workbookViewId="0">
      <selection activeCell="J22" sqref="J22"/>
    </sheetView>
  </sheetViews>
  <sheetFormatPr defaultRowHeight="15" x14ac:dyDescent="0.25"/>
  <cols>
    <col min="1" max="15" width="10.7109375" customWidth="1"/>
  </cols>
  <sheetData>
    <row r="3" spans="3:13" ht="18.75" x14ac:dyDescent="0.3">
      <c r="C3" s="36" t="s">
        <v>41</v>
      </c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3:13" x14ac:dyDescent="0.25">
      <c r="C5" s="3"/>
      <c r="D5" s="3"/>
      <c r="E5" s="3"/>
      <c r="F5" s="3"/>
      <c r="G5" s="3"/>
      <c r="H5" s="3"/>
      <c r="I5" s="4"/>
      <c r="J5" s="4"/>
      <c r="K5" s="4"/>
      <c r="L5" s="4"/>
      <c r="M5" s="3"/>
    </row>
    <row r="6" spans="3:13" ht="15" customHeight="1" x14ac:dyDescent="0.25">
      <c r="C6" s="3"/>
      <c r="D6" s="37" t="s">
        <v>4</v>
      </c>
      <c r="E6" s="37"/>
      <c r="F6" s="37"/>
      <c r="G6" s="37"/>
      <c r="H6" s="3"/>
      <c r="I6" s="4"/>
      <c r="J6" s="4"/>
      <c r="K6" s="4"/>
      <c r="L6" s="4"/>
      <c r="M6" s="3"/>
    </row>
    <row r="7" spans="3:13" ht="15" customHeight="1" x14ac:dyDescent="0.25">
      <c r="C7" s="3"/>
      <c r="D7" s="39"/>
      <c r="E7" s="40"/>
      <c r="F7" s="40"/>
      <c r="G7" s="41"/>
      <c r="H7" s="3"/>
      <c r="I7" s="4"/>
      <c r="J7" s="4"/>
      <c r="K7" s="4"/>
      <c r="L7" s="4"/>
      <c r="M7" s="3"/>
    </row>
    <row r="8" spans="3:13" ht="15" customHeight="1" x14ac:dyDescent="0.25">
      <c r="C8" s="3"/>
      <c r="D8" s="3"/>
      <c r="E8" s="3"/>
      <c r="F8" s="3"/>
      <c r="G8" s="3"/>
      <c r="H8" s="3"/>
      <c r="I8" s="4"/>
      <c r="J8" s="4"/>
      <c r="K8" s="4"/>
      <c r="L8" s="4"/>
      <c r="M8" s="3"/>
    </row>
    <row r="9" spans="3:13" x14ac:dyDescent="0.25">
      <c r="C9" s="3"/>
      <c r="D9" s="37" t="s">
        <v>31</v>
      </c>
      <c r="E9" s="37"/>
      <c r="F9" s="37"/>
      <c r="G9" s="37"/>
      <c r="H9" s="3"/>
      <c r="I9" s="4"/>
      <c r="J9" s="4"/>
      <c r="K9" s="4"/>
      <c r="L9" s="4"/>
      <c r="M9" s="3"/>
    </row>
    <row r="10" spans="3:13" x14ac:dyDescent="0.25">
      <c r="C10" s="3"/>
      <c r="D10" s="39"/>
      <c r="E10" s="40"/>
      <c r="F10" s="40"/>
      <c r="G10" s="41"/>
      <c r="H10" s="3"/>
      <c r="I10" s="4"/>
      <c r="J10" s="4"/>
      <c r="K10" s="4"/>
      <c r="L10" s="4"/>
      <c r="M10" s="3"/>
    </row>
    <row r="11" spans="3:13" x14ac:dyDescent="0.25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3:13" x14ac:dyDescent="0.25">
      <c r="C12" s="3"/>
      <c r="D12" s="37" t="s">
        <v>30</v>
      </c>
      <c r="E12" s="37"/>
      <c r="F12" s="37"/>
      <c r="G12" s="37"/>
      <c r="H12" s="37"/>
      <c r="I12" s="37"/>
      <c r="J12" s="37"/>
      <c r="K12" s="37"/>
      <c r="L12" s="37"/>
      <c r="M12" s="3"/>
    </row>
    <row r="13" spans="3:13" x14ac:dyDescent="0.25">
      <c r="C13" s="3"/>
      <c r="D13" s="42"/>
      <c r="E13" s="43"/>
      <c r="F13" s="43"/>
      <c r="G13" s="43"/>
      <c r="H13" s="43"/>
      <c r="I13" s="43"/>
      <c r="J13" s="43"/>
      <c r="K13" s="43"/>
      <c r="L13" s="44"/>
      <c r="M13" s="3"/>
    </row>
    <row r="14" spans="3:13" x14ac:dyDescent="0.25">
      <c r="C14" s="3"/>
      <c r="D14" s="45"/>
      <c r="E14" s="46"/>
      <c r="F14" s="46"/>
      <c r="G14" s="46"/>
      <c r="H14" s="46"/>
      <c r="I14" s="46"/>
      <c r="J14" s="46"/>
      <c r="K14" s="46"/>
      <c r="L14" s="47"/>
      <c r="M14" s="3"/>
    </row>
    <row r="15" spans="3:13" x14ac:dyDescent="0.25">
      <c r="C15" s="3"/>
      <c r="D15" s="45"/>
      <c r="E15" s="46"/>
      <c r="F15" s="46"/>
      <c r="G15" s="46"/>
      <c r="H15" s="46"/>
      <c r="I15" s="46"/>
      <c r="J15" s="46"/>
      <c r="K15" s="46"/>
      <c r="L15" s="47"/>
      <c r="M15" s="3"/>
    </row>
    <row r="16" spans="3:13" x14ac:dyDescent="0.25">
      <c r="C16" s="3"/>
      <c r="D16" s="45"/>
      <c r="E16" s="46"/>
      <c r="F16" s="46"/>
      <c r="G16" s="46"/>
      <c r="H16" s="46"/>
      <c r="I16" s="46"/>
      <c r="J16" s="46"/>
      <c r="K16" s="46"/>
      <c r="L16" s="47"/>
      <c r="M16" s="3"/>
    </row>
    <row r="17" spans="3:13" x14ac:dyDescent="0.25">
      <c r="C17" s="3"/>
      <c r="D17" s="45"/>
      <c r="E17" s="46"/>
      <c r="F17" s="46"/>
      <c r="G17" s="46"/>
      <c r="H17" s="46"/>
      <c r="I17" s="46"/>
      <c r="J17" s="46"/>
      <c r="K17" s="46"/>
      <c r="L17" s="47"/>
      <c r="M17" s="3"/>
    </row>
    <row r="18" spans="3:13" x14ac:dyDescent="0.25">
      <c r="C18" s="3"/>
      <c r="D18" s="48"/>
      <c r="E18" s="49"/>
      <c r="F18" s="49"/>
      <c r="G18" s="49"/>
      <c r="H18" s="49"/>
      <c r="I18" s="49"/>
      <c r="J18" s="49"/>
      <c r="K18" s="49"/>
      <c r="L18" s="50"/>
      <c r="M18" s="3"/>
    </row>
    <row r="19" spans="3:13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3:13" ht="15" customHeight="1" x14ac:dyDescent="0.25">
      <c r="C20" s="3"/>
      <c r="D20" s="57" t="s">
        <v>39</v>
      </c>
      <c r="E20" s="51">
        <f>Productos!F1+1</f>
        <v>121</v>
      </c>
      <c r="F20" s="52"/>
      <c r="G20" s="3"/>
      <c r="H20" s="3"/>
      <c r="I20" s="3"/>
      <c r="J20" s="3"/>
      <c r="K20" s="3"/>
      <c r="L20" s="3"/>
      <c r="M20" s="3"/>
    </row>
    <row r="21" spans="3:13" ht="15" customHeight="1" x14ac:dyDescent="0.25">
      <c r="C21" s="3"/>
      <c r="D21" s="58"/>
      <c r="E21" s="53"/>
      <c r="F21" s="54"/>
      <c r="G21" s="3"/>
      <c r="H21" s="3"/>
      <c r="I21" s="5"/>
      <c r="J21" s="5"/>
      <c r="K21" s="5"/>
      <c r="L21" s="5"/>
      <c r="M21" s="3"/>
    </row>
    <row r="22" spans="3:13" ht="15" customHeight="1" x14ac:dyDescent="0.25">
      <c r="C22" s="3"/>
      <c r="D22" s="59"/>
      <c r="E22" s="55"/>
      <c r="F22" s="56"/>
      <c r="G22" s="3"/>
      <c r="H22" s="3"/>
      <c r="I22" s="5"/>
      <c r="J22" s="5"/>
      <c r="K22" s="5"/>
      <c r="L22" s="5"/>
      <c r="M22" s="3"/>
    </row>
    <row r="23" spans="3:13" ht="15" customHeight="1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3:13" ht="15" customHeight="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3:13" ht="15" customHeight="1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3:13" x14ac:dyDescent="0.25">
      <c r="C26" s="3"/>
      <c r="D26" s="27" t="s">
        <v>7</v>
      </c>
      <c r="E26" s="27"/>
      <c r="F26" s="27"/>
      <c r="G26" s="27"/>
      <c r="H26" s="28"/>
      <c r="I26" s="28"/>
      <c r="J26" s="28"/>
      <c r="K26" s="28"/>
      <c r="L26" s="28"/>
      <c r="M26" s="3"/>
    </row>
    <row r="27" spans="3:13" ht="18.75" x14ac:dyDescent="0.3">
      <c r="C27" s="3"/>
      <c r="D27" s="30"/>
      <c r="E27" s="30"/>
      <c r="F27" s="30"/>
      <c r="G27" s="30"/>
      <c r="H27" s="14"/>
      <c r="I27" s="14"/>
      <c r="J27" s="14"/>
      <c r="K27" s="14"/>
      <c r="L27" s="14"/>
      <c r="M27" s="3"/>
    </row>
    <row r="28" spans="3:13" ht="20.100000000000001" customHeight="1" x14ac:dyDescent="0.3">
      <c r="C28" s="3"/>
      <c r="D28" s="14" t="s">
        <v>55</v>
      </c>
      <c r="E28" s="14"/>
      <c r="F28" s="14"/>
      <c r="G28" s="38">
        <f>E20</f>
        <v>121</v>
      </c>
      <c r="H28" s="38"/>
      <c r="I28" s="38"/>
      <c r="J28" s="38"/>
      <c r="K28" s="38"/>
      <c r="L28" s="38"/>
      <c r="M28" s="3"/>
    </row>
    <row r="29" spans="3:13" ht="20.100000000000001" customHeight="1" x14ac:dyDescent="0.3">
      <c r="C29" s="3"/>
      <c r="D29" s="14" t="s">
        <v>6</v>
      </c>
      <c r="E29" s="14"/>
      <c r="F29" s="14"/>
      <c r="G29" s="38">
        <f>D7</f>
        <v>0</v>
      </c>
      <c r="H29" s="38"/>
      <c r="I29" s="38"/>
      <c r="J29" s="38"/>
      <c r="K29" s="38"/>
      <c r="L29" s="38"/>
      <c r="M29" s="3"/>
    </row>
    <row r="30" spans="3:13" ht="20.100000000000001" customHeight="1" x14ac:dyDescent="0.3">
      <c r="C30" s="3"/>
      <c r="D30" s="14" t="s">
        <v>34</v>
      </c>
      <c r="E30" s="14"/>
      <c r="F30" s="14"/>
      <c r="G30" s="38">
        <f>D13</f>
        <v>0</v>
      </c>
      <c r="H30" s="38"/>
      <c r="I30" s="38"/>
      <c r="J30" s="38"/>
      <c r="K30" s="38"/>
      <c r="L30" s="38"/>
      <c r="M30" s="3"/>
    </row>
    <row r="31" spans="3:13" ht="20.100000000000001" customHeight="1" x14ac:dyDescent="0.3">
      <c r="C31" s="3"/>
      <c r="D31" s="14" t="s">
        <v>32</v>
      </c>
      <c r="E31" s="14"/>
      <c r="F31" s="14"/>
      <c r="G31" s="38">
        <f>D10</f>
        <v>0</v>
      </c>
      <c r="H31" s="38"/>
      <c r="I31" s="38"/>
      <c r="J31" s="38"/>
      <c r="K31" s="38"/>
      <c r="L31" s="38"/>
      <c r="M31" s="3"/>
    </row>
    <row r="32" spans="3:13" ht="18.75" x14ac:dyDescent="0.3">
      <c r="C32" s="3"/>
      <c r="D32" s="14"/>
      <c r="E32" s="14"/>
      <c r="F32" s="14"/>
      <c r="G32" s="14"/>
      <c r="H32" s="31"/>
      <c r="I32" s="31"/>
      <c r="J32" s="31"/>
      <c r="K32" s="31"/>
      <c r="L32" s="31"/>
      <c r="M32" s="3"/>
    </row>
    <row r="33" spans="3:13" ht="18.75" x14ac:dyDescent="0.3">
      <c r="C33" s="3"/>
      <c r="D33" s="14"/>
      <c r="E33" s="14"/>
      <c r="F33" s="14"/>
      <c r="G33" s="14"/>
      <c r="H33" s="14"/>
      <c r="I33" s="14"/>
      <c r="J33" s="14"/>
      <c r="K33" s="14"/>
      <c r="L33" s="14"/>
      <c r="M33" s="3"/>
    </row>
    <row r="34" spans="3:13" ht="18.75" x14ac:dyDescent="0.3">
      <c r="C34" s="3"/>
      <c r="D34" s="14"/>
      <c r="E34" s="14"/>
      <c r="F34" s="14"/>
      <c r="G34" s="14"/>
      <c r="H34" s="14"/>
      <c r="I34" s="14"/>
      <c r="J34" s="14"/>
      <c r="K34" s="14"/>
      <c r="L34" s="14"/>
      <c r="M34" s="3"/>
    </row>
    <row r="35" spans="3:13" ht="18.75" x14ac:dyDescent="0.3">
      <c r="C35" s="3"/>
      <c r="D35" s="14"/>
      <c r="E35" s="14"/>
      <c r="F35" s="14"/>
      <c r="G35" s="14"/>
      <c r="H35" s="14"/>
      <c r="I35" s="14"/>
      <c r="J35" s="14"/>
      <c r="K35" s="14"/>
      <c r="L35" s="14"/>
      <c r="M35" s="3"/>
    </row>
    <row r="36" spans="3:13" ht="18.75" x14ac:dyDescent="0.3">
      <c r="C36" s="3"/>
      <c r="D36" s="14"/>
      <c r="E36" s="14"/>
      <c r="F36" s="14"/>
      <c r="G36" s="14"/>
      <c r="H36" s="14"/>
      <c r="I36" s="14"/>
      <c r="J36" s="14"/>
      <c r="K36" s="14"/>
      <c r="L36" s="14"/>
      <c r="M36" s="3"/>
    </row>
  </sheetData>
  <mergeCells count="13">
    <mergeCell ref="C3:M3"/>
    <mergeCell ref="D6:G6"/>
    <mergeCell ref="G29:L29"/>
    <mergeCell ref="G30:L30"/>
    <mergeCell ref="G31:L31"/>
    <mergeCell ref="G28:L28"/>
    <mergeCell ref="D7:G7"/>
    <mergeCell ref="D9:G9"/>
    <mergeCell ref="D10:G10"/>
    <mergeCell ref="D12:L12"/>
    <mergeCell ref="D13:L18"/>
    <mergeCell ref="E20:F22"/>
    <mergeCell ref="D20:D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uevoProducto_NuevoButton_Click">
                <anchor moveWithCells="1" sizeWithCells="1">
                  <from>
                    <xdr:col>8</xdr:col>
                    <xdr:colOff>47625</xdr:colOff>
                    <xdr:row>20</xdr:row>
                    <xdr:rowOff>47625</xdr:rowOff>
                  </from>
                  <to>
                    <xdr:col>11</xdr:col>
                    <xdr:colOff>666750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C3:V36"/>
  <sheetViews>
    <sheetView workbookViewId="0">
      <selection activeCell="E39" sqref="E39"/>
    </sheetView>
  </sheetViews>
  <sheetFormatPr defaultRowHeight="15" x14ac:dyDescent="0.25"/>
  <cols>
    <col min="1" max="19" width="10.7109375" customWidth="1"/>
    <col min="21" max="21" width="9.140625" style="7"/>
  </cols>
  <sheetData>
    <row r="3" spans="3:22" ht="18.75" x14ac:dyDescent="0.3">
      <c r="C3" s="62" t="s">
        <v>66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U3" s="12" t="s">
        <v>8</v>
      </c>
      <c r="V3" s="21">
        <v>12</v>
      </c>
    </row>
    <row r="4" spans="3:22" x14ac:dyDescent="0.25">
      <c r="C4" s="63" t="s">
        <v>48</v>
      </c>
      <c r="D4" s="64"/>
      <c r="E4" s="64"/>
      <c r="F4" s="65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3:22" x14ac:dyDescent="0.25"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3:22" x14ac:dyDescent="0.25">
      <c r="G6" s="23"/>
      <c r="H6" s="20"/>
      <c r="I6" s="20"/>
      <c r="J6" s="20"/>
      <c r="K6" s="20"/>
      <c r="L6" s="20"/>
      <c r="M6" s="20"/>
      <c r="N6" s="20"/>
      <c r="O6" s="20"/>
      <c r="P6" s="20"/>
      <c r="Q6" s="23"/>
    </row>
    <row r="7" spans="3:22" x14ac:dyDescent="0.25">
      <c r="G7" s="23"/>
      <c r="H7" s="20"/>
      <c r="I7" s="20"/>
      <c r="J7" s="20"/>
      <c r="K7" s="20"/>
      <c r="L7" s="20"/>
      <c r="M7" s="20"/>
      <c r="N7" s="20"/>
      <c r="O7" s="20"/>
      <c r="P7" s="20"/>
      <c r="Q7" s="23"/>
    </row>
    <row r="8" spans="3:22" x14ac:dyDescent="0.25">
      <c r="G8" s="23"/>
      <c r="H8" s="20"/>
      <c r="I8" s="20"/>
      <c r="J8" s="20"/>
      <c r="K8" s="20"/>
      <c r="L8" s="20"/>
      <c r="M8" s="20"/>
      <c r="N8" s="20"/>
      <c r="O8" s="20"/>
      <c r="P8" s="20"/>
      <c r="Q8" s="23"/>
    </row>
    <row r="9" spans="3:22" x14ac:dyDescent="0.25">
      <c r="G9" s="23"/>
      <c r="H9" s="20"/>
      <c r="I9" s="20"/>
      <c r="J9" s="20"/>
      <c r="K9" s="20"/>
      <c r="L9" s="20"/>
      <c r="M9" s="20"/>
      <c r="N9" s="20"/>
      <c r="O9" s="20"/>
      <c r="P9" s="20"/>
      <c r="Q9" s="23"/>
    </row>
    <row r="10" spans="3:22" x14ac:dyDescent="0.25">
      <c r="G10" s="23"/>
      <c r="H10" s="20"/>
      <c r="I10" s="20"/>
      <c r="J10" s="20"/>
      <c r="K10" s="20"/>
      <c r="L10" s="20"/>
      <c r="M10" s="20"/>
      <c r="N10" s="20"/>
      <c r="O10" s="20"/>
      <c r="P10" s="20"/>
      <c r="Q10" s="23"/>
    </row>
    <row r="11" spans="3:22" x14ac:dyDescent="0.25">
      <c r="G11" s="23"/>
      <c r="H11" s="20"/>
      <c r="I11" s="20"/>
      <c r="J11" s="20"/>
      <c r="K11" s="20"/>
      <c r="L11" s="20"/>
      <c r="M11" s="20"/>
      <c r="N11" s="20"/>
      <c r="O11" s="20"/>
      <c r="P11" s="20"/>
      <c r="Q11" s="23"/>
    </row>
    <row r="12" spans="3:22" x14ac:dyDescent="0.25">
      <c r="G12" s="23"/>
      <c r="H12" s="20"/>
      <c r="I12" s="20"/>
      <c r="J12" s="20"/>
      <c r="K12" s="20"/>
      <c r="L12" s="20"/>
      <c r="M12" s="20"/>
      <c r="N12" s="20"/>
      <c r="O12" s="20"/>
      <c r="P12" s="20"/>
      <c r="Q12" s="23"/>
    </row>
    <row r="13" spans="3:22" x14ac:dyDescent="0.25">
      <c r="G13" s="23"/>
      <c r="H13" s="20"/>
      <c r="I13" s="20"/>
      <c r="J13" s="20"/>
      <c r="K13" s="20"/>
      <c r="L13" s="20"/>
      <c r="M13" s="20"/>
      <c r="N13" s="20"/>
      <c r="O13" s="20"/>
      <c r="P13" s="20"/>
      <c r="Q13" s="23"/>
    </row>
    <row r="14" spans="3:22" x14ac:dyDescent="0.25">
      <c r="G14" s="23"/>
      <c r="H14" s="20"/>
      <c r="I14" s="20"/>
      <c r="J14" s="20"/>
      <c r="K14" s="20"/>
      <c r="L14" s="20"/>
      <c r="M14" s="20"/>
      <c r="N14" s="20"/>
      <c r="O14" s="20"/>
      <c r="P14" s="20"/>
      <c r="Q14" s="23"/>
    </row>
    <row r="15" spans="3:22" x14ac:dyDescent="0.25">
      <c r="G15" s="23"/>
      <c r="H15" s="20"/>
      <c r="I15" s="20"/>
      <c r="J15" s="20"/>
      <c r="K15" s="20"/>
      <c r="L15" s="20"/>
      <c r="M15" s="20"/>
      <c r="N15" s="20"/>
      <c r="O15" s="20"/>
      <c r="P15" s="20"/>
      <c r="Q15" s="23"/>
    </row>
    <row r="16" spans="3:22" x14ac:dyDescent="0.25">
      <c r="G16" s="23"/>
      <c r="H16" s="20"/>
      <c r="I16" s="20"/>
      <c r="J16" s="20"/>
      <c r="K16" s="20"/>
      <c r="L16" s="20"/>
      <c r="M16" s="20"/>
      <c r="N16" s="20"/>
      <c r="O16" s="20"/>
      <c r="P16" s="20"/>
      <c r="Q16" s="23"/>
    </row>
    <row r="17" spans="3:17" x14ac:dyDescent="0.25">
      <c r="G17" s="23"/>
      <c r="H17" s="20"/>
      <c r="I17" s="20"/>
      <c r="J17" s="20"/>
      <c r="K17" s="20"/>
      <c r="L17" s="20"/>
      <c r="M17" s="20"/>
      <c r="N17" s="20"/>
      <c r="O17" s="20"/>
      <c r="P17" s="20"/>
      <c r="Q17" s="23"/>
    </row>
    <row r="18" spans="3:17" x14ac:dyDescent="0.25">
      <c r="G18" s="23"/>
      <c r="H18" s="20"/>
      <c r="I18" s="20"/>
      <c r="J18" s="20"/>
      <c r="K18" s="20"/>
      <c r="L18" s="20"/>
      <c r="M18" s="20"/>
      <c r="N18" s="20"/>
      <c r="O18" s="20"/>
      <c r="P18" s="20"/>
      <c r="Q18" s="23"/>
    </row>
    <row r="19" spans="3:17" x14ac:dyDescent="0.25"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</row>
    <row r="20" spans="3:17" x14ac:dyDescent="0.25">
      <c r="G20" s="23"/>
      <c r="H20" s="20"/>
      <c r="I20" s="20"/>
      <c r="J20" s="20"/>
      <c r="K20" s="23"/>
      <c r="L20" s="23"/>
      <c r="M20" s="23"/>
      <c r="N20" s="23"/>
      <c r="O20" s="23"/>
      <c r="P20" s="23"/>
      <c r="Q20" s="23"/>
    </row>
    <row r="21" spans="3:17" x14ac:dyDescent="0.25">
      <c r="G21" s="23"/>
      <c r="H21" s="20"/>
      <c r="I21" s="20"/>
      <c r="J21" s="20"/>
      <c r="K21" s="23"/>
      <c r="L21" s="23"/>
      <c r="M21" s="26"/>
      <c r="N21" s="26"/>
      <c r="O21" s="26"/>
      <c r="P21" s="26"/>
      <c r="Q21" s="23"/>
    </row>
    <row r="22" spans="3:17" x14ac:dyDescent="0.25">
      <c r="G22" s="23"/>
      <c r="H22" s="20"/>
      <c r="I22" s="20"/>
      <c r="J22" s="20"/>
      <c r="K22" s="23"/>
      <c r="L22" s="23"/>
      <c r="M22" s="26"/>
      <c r="N22" s="26"/>
      <c r="O22" s="26"/>
      <c r="P22" s="26"/>
      <c r="Q22" s="23"/>
    </row>
    <row r="23" spans="3:17" x14ac:dyDescent="0.25">
      <c r="G23" s="23"/>
      <c r="H23" s="20"/>
      <c r="I23" s="20"/>
      <c r="J23" s="20"/>
      <c r="K23" s="23"/>
      <c r="L23" s="23"/>
      <c r="M23" s="23"/>
      <c r="N23" s="23"/>
      <c r="O23" s="23"/>
      <c r="P23" s="23"/>
      <c r="Q23" s="23"/>
    </row>
    <row r="24" spans="3:17" x14ac:dyDescent="0.25">
      <c r="G24" s="23"/>
      <c r="H24" s="20"/>
      <c r="I24" s="20"/>
      <c r="J24" s="20"/>
      <c r="K24" s="23"/>
      <c r="L24" s="23"/>
      <c r="M24" s="23"/>
      <c r="N24" s="23"/>
      <c r="O24" s="23"/>
      <c r="P24" s="23"/>
      <c r="Q24" s="23"/>
    </row>
    <row r="25" spans="3:17" x14ac:dyDescent="0.25"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3:17" x14ac:dyDescent="0.25">
      <c r="G26" s="23"/>
      <c r="H26" s="29" t="s">
        <v>7</v>
      </c>
      <c r="I26" s="29"/>
      <c r="J26" s="29"/>
      <c r="K26" s="29"/>
      <c r="L26" s="25"/>
      <c r="M26" s="25"/>
      <c r="N26" s="25"/>
      <c r="O26" s="25"/>
      <c r="P26" s="25"/>
      <c r="Q26" s="23"/>
    </row>
    <row r="27" spans="3:17" ht="18.75" x14ac:dyDescent="0.3">
      <c r="G27" s="23"/>
      <c r="H27" s="32"/>
      <c r="I27" s="32"/>
      <c r="J27" s="32"/>
      <c r="K27" s="32"/>
      <c r="L27" s="32"/>
      <c r="M27" s="32"/>
      <c r="N27" s="32"/>
      <c r="O27" s="32"/>
      <c r="P27" s="32"/>
      <c r="Q27" s="23"/>
    </row>
    <row r="28" spans="3:17" ht="20.100000000000001" customHeight="1" x14ac:dyDescent="0.3">
      <c r="G28" s="23"/>
      <c r="H28" s="24" t="s">
        <v>55</v>
      </c>
      <c r="I28" s="24"/>
      <c r="J28" s="24"/>
      <c r="K28" s="60">
        <f>INDEX(Productos!A:A,1+EliminarProducto_HojaProductosFila)</f>
        <v>116</v>
      </c>
      <c r="L28" s="60"/>
      <c r="M28" s="60"/>
      <c r="N28" s="60"/>
      <c r="O28" s="60"/>
      <c r="P28" s="60"/>
      <c r="Q28" s="23"/>
    </row>
    <row r="29" spans="3:17" ht="20.100000000000001" customHeight="1" x14ac:dyDescent="0.3">
      <c r="G29" s="23"/>
      <c r="H29" s="24" t="s">
        <v>6</v>
      </c>
      <c r="I29" s="24"/>
      <c r="J29" s="24"/>
      <c r="K29" s="61" t="str">
        <f>INDEX(Productos!B:B,1+EliminarProducto_HojaProductosFila)</f>
        <v>Café</v>
      </c>
      <c r="L29" s="61"/>
      <c r="M29" s="61"/>
      <c r="N29" s="61"/>
      <c r="O29" s="61"/>
      <c r="P29" s="61"/>
      <c r="Q29" s="23"/>
    </row>
    <row r="30" spans="3:17" ht="20.100000000000001" customHeight="1" x14ac:dyDescent="0.3">
      <c r="C30" s="18"/>
      <c r="D30" s="18"/>
      <c r="E30" s="18"/>
      <c r="F30" s="18"/>
      <c r="G30" s="23"/>
      <c r="H30" s="24" t="s">
        <v>34</v>
      </c>
      <c r="I30" s="24"/>
      <c r="J30" s="24"/>
      <c r="K30" s="60" t="str">
        <f>INDEX(Productos!D:D,1+EliminarProducto_HojaProductosFila)</f>
        <v>Bonka</v>
      </c>
      <c r="L30" s="60"/>
      <c r="M30" s="60"/>
      <c r="N30" s="60"/>
      <c r="O30" s="60"/>
      <c r="P30" s="60"/>
      <c r="Q30" s="23"/>
    </row>
    <row r="31" spans="3:17" ht="20.100000000000001" customHeight="1" x14ac:dyDescent="0.3">
      <c r="C31" s="18"/>
      <c r="D31" s="18"/>
      <c r="E31" s="18"/>
      <c r="F31" s="18"/>
      <c r="G31" s="23"/>
      <c r="H31" s="24" t="s">
        <v>32</v>
      </c>
      <c r="I31" s="24"/>
      <c r="J31" s="24"/>
      <c r="K31" s="61">
        <f>INDEX(Productos!C:C,1+EliminarProducto_HojaProductosFila)</f>
        <v>2</v>
      </c>
      <c r="L31" s="61"/>
      <c r="M31" s="61"/>
      <c r="N31" s="61"/>
      <c r="O31" s="61"/>
      <c r="P31" s="61"/>
      <c r="Q31" s="23"/>
    </row>
    <row r="32" spans="3:17" ht="18.75" x14ac:dyDescent="0.3">
      <c r="C32" s="18"/>
      <c r="D32" s="18"/>
      <c r="E32" s="18"/>
      <c r="F32" s="18"/>
      <c r="G32" s="23"/>
      <c r="H32" s="24"/>
      <c r="I32" s="24"/>
      <c r="J32" s="24"/>
      <c r="K32" s="24"/>
      <c r="L32" s="24"/>
      <c r="M32" s="24"/>
      <c r="N32" s="24"/>
      <c r="O32" s="24"/>
      <c r="P32" s="24"/>
      <c r="Q32" s="23"/>
    </row>
    <row r="33" spans="3:17" ht="18.75" x14ac:dyDescent="0.3">
      <c r="C33" s="18"/>
      <c r="D33" s="18"/>
      <c r="E33" s="18"/>
      <c r="F33" s="18"/>
      <c r="G33" s="23"/>
      <c r="H33" s="24"/>
      <c r="I33" s="24"/>
      <c r="J33" s="24"/>
      <c r="K33" s="24"/>
      <c r="L33" s="24"/>
      <c r="M33" s="24"/>
      <c r="N33" s="24"/>
      <c r="O33" s="24"/>
      <c r="P33" s="24"/>
      <c r="Q33" s="23"/>
    </row>
    <row r="34" spans="3:17" ht="18.75" x14ac:dyDescent="0.3">
      <c r="C34" s="18"/>
      <c r="D34" s="18"/>
      <c r="E34" s="18"/>
      <c r="F34" s="18"/>
      <c r="G34" s="23"/>
      <c r="H34" s="24"/>
      <c r="I34" s="24"/>
      <c r="J34" s="24"/>
      <c r="K34" s="24"/>
      <c r="L34" s="24"/>
      <c r="M34" s="24"/>
      <c r="N34" s="24"/>
      <c r="O34" s="24"/>
      <c r="P34" s="24"/>
      <c r="Q34" s="23"/>
    </row>
    <row r="35" spans="3:17" x14ac:dyDescent="0.25">
      <c r="C35" s="18"/>
      <c r="D35" s="18"/>
      <c r="E35" s="18"/>
      <c r="F35" s="18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spans="3:17" x14ac:dyDescent="0.25"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</sheetData>
  <mergeCells count="6">
    <mergeCell ref="K28:P28"/>
    <mergeCell ref="K29:P29"/>
    <mergeCell ref="K30:P30"/>
    <mergeCell ref="K31:P31"/>
    <mergeCell ref="C3:Q3"/>
    <mergeCell ref="C4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EliminarProducto_EliminarButton_Click">
                <anchor moveWithCells="1" sizeWithCells="1">
                  <from>
                    <xdr:col>12</xdr:col>
                    <xdr:colOff>47625</xdr:colOff>
                    <xdr:row>20</xdr:row>
                    <xdr:rowOff>47625</xdr:rowOff>
                  </from>
                  <to>
                    <xdr:col>15</xdr:col>
                    <xdr:colOff>666750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EliminarProducto_ProductoLBx">
              <controlPr defaultSize="0" autoLine="0" autoPict="0" macro="[0]!EditarProducto_ProductoListBox_Change">
                <anchor moveWithCells="1">
                  <from>
                    <xdr:col>2</xdr:col>
                    <xdr:colOff>0</xdr:colOff>
                    <xdr:row>3</xdr:row>
                    <xdr:rowOff>180975</xdr:rowOff>
                  </from>
                  <to>
                    <xdr:col>6</xdr:col>
                    <xdr:colOff>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C3:V36"/>
  <sheetViews>
    <sheetView workbookViewId="0">
      <selection activeCell="K28" sqref="K28:P28"/>
    </sheetView>
  </sheetViews>
  <sheetFormatPr defaultRowHeight="15" x14ac:dyDescent="0.25"/>
  <cols>
    <col min="1" max="19" width="10.7109375" customWidth="1"/>
    <col min="21" max="21" width="9.140625" style="7"/>
  </cols>
  <sheetData>
    <row r="3" spans="3:22" ht="18.75" x14ac:dyDescent="0.3">
      <c r="C3" s="36" t="s">
        <v>47</v>
      </c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3:22" x14ac:dyDescent="0.25">
      <c r="C4" s="63" t="s">
        <v>48</v>
      </c>
      <c r="D4" s="64"/>
      <c r="E4" s="64"/>
      <c r="F4" s="6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U4" s="12" t="s">
        <v>8</v>
      </c>
      <c r="V4" s="21">
        <v>1</v>
      </c>
    </row>
    <row r="5" spans="3:22" x14ac:dyDescent="0.25"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3:22" x14ac:dyDescent="0.25">
      <c r="G6" s="3"/>
      <c r="H6" s="37" t="s">
        <v>4</v>
      </c>
      <c r="I6" s="37"/>
      <c r="J6" s="37"/>
      <c r="K6" s="37"/>
      <c r="L6" s="3"/>
      <c r="M6" s="10"/>
      <c r="N6" s="10"/>
      <c r="O6" s="10"/>
      <c r="P6" s="10"/>
      <c r="Q6" s="3"/>
    </row>
    <row r="7" spans="3:22" x14ac:dyDescent="0.25">
      <c r="G7" s="3"/>
      <c r="H7" s="68" t="s">
        <v>51</v>
      </c>
      <c r="I7" s="69"/>
      <c r="J7" s="69"/>
      <c r="K7" s="70"/>
      <c r="L7" s="3"/>
      <c r="M7" s="10"/>
      <c r="N7" s="10"/>
      <c r="O7" s="10"/>
      <c r="P7" s="10"/>
      <c r="Q7" s="3"/>
    </row>
    <row r="8" spans="3:22" x14ac:dyDescent="0.25"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3:22" x14ac:dyDescent="0.25">
      <c r="G9" s="3"/>
      <c r="H9" s="37" t="s">
        <v>31</v>
      </c>
      <c r="I9" s="37"/>
      <c r="J9" s="37"/>
      <c r="K9" s="37"/>
      <c r="L9" s="3"/>
      <c r="M9" s="3"/>
      <c r="N9" s="3"/>
      <c r="O9" s="3"/>
      <c r="P9" s="3"/>
      <c r="Q9" s="3"/>
    </row>
    <row r="10" spans="3:22" x14ac:dyDescent="0.25">
      <c r="G10" s="3"/>
      <c r="H10" s="68">
        <v>5</v>
      </c>
      <c r="I10" s="69"/>
      <c r="J10" s="69"/>
      <c r="K10" s="70"/>
      <c r="L10" s="3"/>
      <c r="M10" s="3"/>
      <c r="N10" s="3"/>
      <c r="O10" s="3"/>
      <c r="P10" s="3"/>
      <c r="Q10" s="3"/>
    </row>
    <row r="11" spans="3:22" x14ac:dyDescent="0.25"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3:22" x14ac:dyDescent="0.25">
      <c r="G12" s="3"/>
      <c r="H12" s="37" t="s">
        <v>30</v>
      </c>
      <c r="I12" s="37"/>
      <c r="J12" s="37"/>
      <c r="K12" s="37"/>
      <c r="L12" s="37"/>
      <c r="M12" s="37"/>
      <c r="N12" s="37"/>
      <c r="O12" s="37"/>
      <c r="P12" s="37"/>
      <c r="Q12" s="3"/>
    </row>
    <row r="13" spans="3:22" x14ac:dyDescent="0.25">
      <c r="G13" s="3"/>
      <c r="H13" s="71" t="s">
        <v>52</v>
      </c>
      <c r="I13" s="72"/>
      <c r="J13" s="72"/>
      <c r="K13" s="72"/>
      <c r="L13" s="72"/>
      <c r="M13" s="72"/>
      <c r="N13" s="72"/>
      <c r="O13" s="72"/>
      <c r="P13" s="73"/>
      <c r="Q13" s="3"/>
    </row>
    <row r="14" spans="3:22" x14ac:dyDescent="0.25">
      <c r="G14" s="3"/>
      <c r="H14" s="74"/>
      <c r="I14" s="75"/>
      <c r="J14" s="75"/>
      <c r="K14" s="75"/>
      <c r="L14" s="75"/>
      <c r="M14" s="75"/>
      <c r="N14" s="75"/>
      <c r="O14" s="75"/>
      <c r="P14" s="76"/>
      <c r="Q14" s="3"/>
    </row>
    <row r="15" spans="3:22" x14ac:dyDescent="0.25">
      <c r="G15" s="3"/>
      <c r="H15" s="74"/>
      <c r="I15" s="75"/>
      <c r="J15" s="75"/>
      <c r="K15" s="75"/>
      <c r="L15" s="75"/>
      <c r="M15" s="75"/>
      <c r="N15" s="75"/>
      <c r="O15" s="75"/>
      <c r="P15" s="76"/>
      <c r="Q15" s="3"/>
    </row>
    <row r="16" spans="3:22" x14ac:dyDescent="0.25">
      <c r="G16" s="3"/>
      <c r="H16" s="74"/>
      <c r="I16" s="75"/>
      <c r="J16" s="75"/>
      <c r="K16" s="75"/>
      <c r="L16" s="75"/>
      <c r="M16" s="75"/>
      <c r="N16" s="75"/>
      <c r="O16" s="75"/>
      <c r="P16" s="76"/>
      <c r="Q16" s="3"/>
    </row>
    <row r="17" spans="3:17" x14ac:dyDescent="0.25">
      <c r="G17" s="3"/>
      <c r="H17" s="74"/>
      <c r="I17" s="75"/>
      <c r="J17" s="75"/>
      <c r="K17" s="75"/>
      <c r="L17" s="75"/>
      <c r="M17" s="75"/>
      <c r="N17" s="75"/>
      <c r="O17" s="75"/>
      <c r="P17" s="76"/>
      <c r="Q17" s="3"/>
    </row>
    <row r="18" spans="3:17" x14ac:dyDescent="0.25">
      <c r="G18" s="3"/>
      <c r="H18" s="77"/>
      <c r="I18" s="78"/>
      <c r="J18" s="78"/>
      <c r="K18" s="78"/>
      <c r="L18" s="78"/>
      <c r="M18" s="78"/>
      <c r="N18" s="78"/>
      <c r="O18" s="78"/>
      <c r="P18" s="79"/>
      <c r="Q18" s="3"/>
    </row>
    <row r="19" spans="3:17" x14ac:dyDescent="0.25"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</row>
    <row r="20" spans="3:17" x14ac:dyDescent="0.25">
      <c r="G20" s="3"/>
      <c r="H20" s="18"/>
      <c r="I20" s="18"/>
      <c r="J20" s="18"/>
      <c r="K20" s="3"/>
      <c r="L20" s="3"/>
      <c r="M20" s="3"/>
      <c r="N20" s="3"/>
      <c r="O20" s="3"/>
      <c r="P20" s="3"/>
      <c r="Q20" s="3"/>
    </row>
    <row r="21" spans="3:17" x14ac:dyDescent="0.25">
      <c r="G21" s="3"/>
      <c r="H21" s="18"/>
      <c r="I21" s="18"/>
      <c r="J21" s="18"/>
      <c r="K21" s="3"/>
      <c r="L21" s="3"/>
      <c r="M21" s="5"/>
      <c r="N21" s="5"/>
      <c r="O21" s="5"/>
      <c r="P21" s="5"/>
      <c r="Q21" s="3"/>
    </row>
    <row r="22" spans="3:17" x14ac:dyDescent="0.25">
      <c r="G22" s="3"/>
      <c r="H22" s="18"/>
      <c r="I22" s="18"/>
      <c r="J22" s="18"/>
      <c r="K22" s="3"/>
      <c r="L22" s="3"/>
      <c r="M22" s="5"/>
      <c r="N22" s="5"/>
      <c r="O22" s="5"/>
      <c r="P22" s="5"/>
      <c r="Q22" s="3"/>
    </row>
    <row r="23" spans="3:17" x14ac:dyDescent="0.25">
      <c r="G23" s="3"/>
      <c r="H23" s="18"/>
      <c r="I23" s="18"/>
      <c r="J23" s="18"/>
      <c r="K23" s="3"/>
      <c r="L23" s="3"/>
      <c r="M23" s="3"/>
      <c r="N23" s="3"/>
      <c r="O23" s="3"/>
      <c r="P23" s="3"/>
      <c r="Q23" s="3"/>
    </row>
    <row r="24" spans="3:17" x14ac:dyDescent="0.25">
      <c r="G24" s="3"/>
      <c r="H24" s="18"/>
      <c r="I24" s="18"/>
      <c r="J24" s="18"/>
      <c r="K24" s="3"/>
      <c r="L24" s="3"/>
      <c r="M24" s="3"/>
      <c r="N24" s="3"/>
      <c r="O24" s="3"/>
      <c r="P24" s="3"/>
      <c r="Q24" s="3"/>
    </row>
    <row r="25" spans="3:17" x14ac:dyDescent="0.25"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3:17" x14ac:dyDescent="0.25">
      <c r="G26" s="3"/>
      <c r="H26" s="27" t="s">
        <v>7</v>
      </c>
      <c r="I26" s="27"/>
      <c r="J26" s="27"/>
      <c r="K26" s="27"/>
      <c r="L26" s="28"/>
      <c r="M26" s="28"/>
      <c r="N26" s="28"/>
      <c r="O26" s="28"/>
      <c r="P26" s="28"/>
      <c r="Q26" s="3"/>
    </row>
    <row r="27" spans="3:17" ht="18.75" x14ac:dyDescent="0.3">
      <c r="G27" s="3"/>
      <c r="H27" s="17"/>
      <c r="I27" s="17"/>
      <c r="J27" s="17"/>
      <c r="K27" s="17"/>
      <c r="L27" s="17"/>
      <c r="M27" s="17"/>
      <c r="N27" s="17"/>
      <c r="O27" s="17"/>
      <c r="P27" s="17"/>
      <c r="Q27" s="3"/>
    </row>
    <row r="28" spans="3:17" ht="20.100000000000001" customHeight="1" x14ac:dyDescent="0.3">
      <c r="G28" s="3"/>
      <c r="H28" s="14" t="s">
        <v>55</v>
      </c>
      <c r="I28" s="14"/>
      <c r="J28" s="14"/>
      <c r="K28" s="66">
        <f>INDEX(Productos!A:A,1+EditarProducto_HojaProductosFila)</f>
        <v>101</v>
      </c>
      <c r="L28" s="66"/>
      <c r="M28" s="66"/>
      <c r="N28" s="66"/>
      <c r="O28" s="66"/>
      <c r="P28" s="66"/>
      <c r="Q28" s="3"/>
    </row>
    <row r="29" spans="3:17" ht="20.100000000000001" customHeight="1" x14ac:dyDescent="0.3">
      <c r="G29" s="3"/>
      <c r="H29" s="14" t="s">
        <v>6</v>
      </c>
      <c r="I29" s="14"/>
      <c r="J29" s="14"/>
      <c r="K29" s="67" t="str">
        <f>H7</f>
        <v>Pincho pollo</v>
      </c>
      <c r="L29" s="67"/>
      <c r="M29" s="67"/>
      <c r="N29" s="67"/>
      <c r="O29" s="67"/>
      <c r="P29" s="67"/>
      <c r="Q29" s="3"/>
    </row>
    <row r="30" spans="3:17" ht="20.100000000000001" customHeight="1" x14ac:dyDescent="0.3">
      <c r="C30" s="4"/>
      <c r="D30" s="4"/>
      <c r="E30" s="4"/>
      <c r="F30" s="4"/>
      <c r="G30" s="3"/>
      <c r="H30" s="14" t="s">
        <v>34</v>
      </c>
      <c r="I30" s="14"/>
      <c r="J30" s="14"/>
      <c r="K30" s="66" t="str">
        <f>H13</f>
        <v>Servido con patatas</v>
      </c>
      <c r="L30" s="66"/>
      <c r="M30" s="66"/>
      <c r="N30" s="66"/>
      <c r="O30" s="66"/>
      <c r="P30" s="66"/>
      <c r="Q30" s="3"/>
    </row>
    <row r="31" spans="3:17" ht="20.100000000000001" customHeight="1" x14ac:dyDescent="0.3">
      <c r="C31" s="4"/>
      <c r="D31" s="4"/>
      <c r="E31" s="4"/>
      <c r="F31" s="4"/>
      <c r="G31" s="3"/>
      <c r="H31" s="14" t="s">
        <v>32</v>
      </c>
      <c r="I31" s="14"/>
      <c r="J31" s="14"/>
      <c r="K31" s="67">
        <f>H10</f>
        <v>5</v>
      </c>
      <c r="L31" s="67"/>
      <c r="M31" s="67"/>
      <c r="N31" s="67"/>
      <c r="O31" s="67"/>
      <c r="P31" s="67"/>
      <c r="Q31" s="3"/>
    </row>
    <row r="32" spans="3:17" x14ac:dyDescent="0.25">
      <c r="C32" s="4"/>
      <c r="D32" s="4"/>
      <c r="E32" s="4"/>
      <c r="F32" s="4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3:17" x14ac:dyDescent="0.25">
      <c r="C33" s="4"/>
      <c r="D33" s="4"/>
      <c r="E33" s="4"/>
      <c r="F33" s="4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3:17" x14ac:dyDescent="0.25">
      <c r="C34" s="4"/>
      <c r="D34" s="4"/>
      <c r="E34" s="4"/>
      <c r="F34" s="4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3:17" x14ac:dyDescent="0.25">
      <c r="C35" s="4"/>
      <c r="D35" s="4"/>
      <c r="E35" s="4"/>
      <c r="F35" s="4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3:17" x14ac:dyDescent="0.25"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</sheetData>
  <mergeCells count="12">
    <mergeCell ref="K28:P28"/>
    <mergeCell ref="K29:P29"/>
    <mergeCell ref="K30:P30"/>
    <mergeCell ref="K31:P31"/>
    <mergeCell ref="C3:Q3"/>
    <mergeCell ref="C4:F4"/>
    <mergeCell ref="H6:K6"/>
    <mergeCell ref="H7:K7"/>
    <mergeCell ref="H9:K9"/>
    <mergeCell ref="H10:K10"/>
    <mergeCell ref="H12:P12"/>
    <mergeCell ref="H13:P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EditarProducto_ActualizarButton_Click">
                <anchor moveWithCells="1" sizeWithCells="1">
                  <from>
                    <xdr:col>12</xdr:col>
                    <xdr:colOff>47625</xdr:colOff>
                    <xdr:row>20</xdr:row>
                    <xdr:rowOff>47625</xdr:rowOff>
                  </from>
                  <to>
                    <xdr:col>15</xdr:col>
                    <xdr:colOff>666750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EditarProducto_ProductoListBox">
              <controlPr defaultSize="0" autoLine="0" autoPict="0" macro="[0]!EditarProducto_ProductoListBox_Change">
                <anchor moveWithCells="1">
                  <from>
                    <xdr:col>2</xdr:col>
                    <xdr:colOff>0</xdr:colOff>
                    <xdr:row>3</xdr:row>
                    <xdr:rowOff>180975</xdr:rowOff>
                  </from>
                  <to>
                    <xdr:col>6</xdr:col>
                    <xdr:colOff>0</xdr:colOff>
                    <xdr:row>34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X32"/>
  <sheetViews>
    <sheetView workbookViewId="0">
      <selection activeCell="H7" sqref="H7:K7"/>
    </sheetView>
  </sheetViews>
  <sheetFormatPr defaultRowHeight="15" x14ac:dyDescent="0.25"/>
  <cols>
    <col min="1" max="17" width="10.7109375" customWidth="1"/>
    <col min="21" max="21" width="9.140625" style="2"/>
    <col min="23" max="23" width="11.85546875" customWidth="1"/>
  </cols>
  <sheetData>
    <row r="3" spans="3:24" ht="18.75" x14ac:dyDescent="0.3">
      <c r="C3" s="36" t="s">
        <v>42</v>
      </c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3:24" x14ac:dyDescent="0.25">
      <c r="C4" s="87" t="s">
        <v>48</v>
      </c>
      <c r="D4" s="87"/>
      <c r="E4" s="87"/>
      <c r="F4" s="87"/>
      <c r="G4" s="3"/>
      <c r="H4" s="3"/>
      <c r="I4" s="3"/>
      <c r="J4" s="3"/>
      <c r="K4" s="3"/>
      <c r="L4" s="3"/>
      <c r="M4" s="18"/>
      <c r="N4" s="18"/>
      <c r="O4" s="18"/>
      <c r="P4" s="18"/>
      <c r="Q4" s="3"/>
      <c r="U4" s="1"/>
      <c r="V4" s="35" t="s">
        <v>8</v>
      </c>
      <c r="W4" s="21">
        <v>14</v>
      </c>
      <c r="X4" s="34" t="s">
        <v>26</v>
      </c>
    </row>
    <row r="5" spans="3:24" x14ac:dyDescent="0.25">
      <c r="C5" s="4"/>
      <c r="D5" s="4"/>
      <c r="E5" s="4"/>
      <c r="F5" s="4"/>
      <c r="G5" s="3"/>
      <c r="H5" s="3"/>
      <c r="I5" s="3"/>
      <c r="J5" s="3"/>
      <c r="K5" s="3"/>
      <c r="L5" s="18"/>
      <c r="M5" s="18"/>
      <c r="N5" s="18"/>
      <c r="O5" s="18"/>
      <c r="P5" s="18"/>
      <c r="Q5" s="3"/>
      <c r="W5" s="21" t="s">
        <v>11</v>
      </c>
    </row>
    <row r="6" spans="3:24" x14ac:dyDescent="0.25">
      <c r="C6" s="4"/>
      <c r="D6" s="4"/>
      <c r="E6" s="4"/>
      <c r="F6" s="4"/>
      <c r="G6" s="3"/>
      <c r="H6" s="81" t="s">
        <v>29</v>
      </c>
      <c r="I6" s="82"/>
      <c r="J6" s="82"/>
      <c r="K6" s="83"/>
      <c r="L6" s="18"/>
      <c r="M6" s="18"/>
      <c r="N6" s="18"/>
      <c r="O6" s="18"/>
      <c r="P6" s="18"/>
      <c r="Q6" s="3"/>
      <c r="W6" s="21" t="s">
        <v>12</v>
      </c>
    </row>
    <row r="7" spans="3:24" x14ac:dyDescent="0.25">
      <c r="C7" s="4"/>
      <c r="D7" s="4"/>
      <c r="E7" s="4"/>
      <c r="F7" s="4"/>
      <c r="G7" s="3"/>
      <c r="H7" s="84">
        <v>1</v>
      </c>
      <c r="I7" s="85"/>
      <c r="J7" s="85"/>
      <c r="K7" s="86"/>
      <c r="L7" s="18"/>
      <c r="M7" s="18"/>
      <c r="N7" s="18"/>
      <c r="O7" s="18"/>
      <c r="P7" s="18"/>
      <c r="Q7" s="3"/>
      <c r="W7" s="21" t="s">
        <v>13</v>
      </c>
    </row>
    <row r="8" spans="3:24" x14ac:dyDescent="0.25">
      <c r="C8" s="4"/>
      <c r="D8" s="4"/>
      <c r="E8" s="4"/>
      <c r="F8" s="4"/>
      <c r="G8" s="3"/>
      <c r="H8" s="3"/>
      <c r="I8" s="3"/>
      <c r="J8" s="3"/>
      <c r="K8" s="3"/>
      <c r="L8" s="18"/>
      <c r="M8" s="18"/>
      <c r="N8" s="18"/>
      <c r="O8" s="18"/>
      <c r="P8" s="18"/>
      <c r="Q8" s="3"/>
      <c r="W8" s="21" t="s">
        <v>14</v>
      </c>
    </row>
    <row r="9" spans="3:24" x14ac:dyDescent="0.25">
      <c r="C9" s="4"/>
      <c r="D9" s="4"/>
      <c r="E9" s="4"/>
      <c r="F9" s="4"/>
      <c r="G9" s="3"/>
      <c r="H9" s="63" t="s">
        <v>5</v>
      </c>
      <c r="I9" s="64"/>
      <c r="J9" s="64"/>
      <c r="K9" s="65"/>
      <c r="L9" s="18"/>
      <c r="M9" s="18"/>
      <c r="N9" s="18"/>
      <c r="O9" s="18"/>
      <c r="P9" s="18"/>
      <c r="Q9" s="3"/>
      <c r="W9" s="21" t="s">
        <v>15</v>
      </c>
    </row>
    <row r="10" spans="3:24" x14ac:dyDescent="0.25">
      <c r="C10" s="4"/>
      <c r="D10" s="4"/>
      <c r="E10" s="4"/>
      <c r="F10" s="4"/>
      <c r="G10" s="3"/>
      <c r="H10" s="11"/>
      <c r="I10" s="11"/>
      <c r="J10" s="11"/>
      <c r="K10" s="11"/>
      <c r="L10" s="18"/>
      <c r="M10" s="18"/>
      <c r="N10" s="18"/>
      <c r="O10" s="18"/>
      <c r="P10" s="18"/>
      <c r="Q10" s="3"/>
      <c r="W10" s="21" t="s">
        <v>16</v>
      </c>
    </row>
    <row r="11" spans="3:24" x14ac:dyDescent="0.25">
      <c r="C11" s="4"/>
      <c r="D11" s="4"/>
      <c r="E11" s="4"/>
      <c r="F11" s="4"/>
      <c r="G11" s="3"/>
      <c r="H11" s="3"/>
      <c r="I11" s="3"/>
      <c r="J11" s="3"/>
      <c r="K11" s="3"/>
      <c r="L11" s="18"/>
      <c r="M11" s="18"/>
      <c r="N11" s="18"/>
      <c r="O11" s="18"/>
      <c r="P11" s="18"/>
      <c r="Q11" s="3"/>
      <c r="W11" s="21" t="s">
        <v>17</v>
      </c>
    </row>
    <row r="12" spans="3:24" x14ac:dyDescent="0.25">
      <c r="C12" s="4"/>
      <c r="D12" s="4"/>
      <c r="E12" s="4"/>
      <c r="F12" s="4"/>
      <c r="G12" s="3"/>
      <c r="H12" s="81" t="s">
        <v>24</v>
      </c>
      <c r="I12" s="82"/>
      <c r="J12" s="82"/>
      <c r="K12" s="83"/>
      <c r="L12" s="18"/>
      <c r="M12" s="18"/>
      <c r="N12" s="18"/>
      <c r="O12" s="18"/>
      <c r="P12" s="18"/>
      <c r="Q12" s="3"/>
      <c r="W12" s="21" t="s">
        <v>18</v>
      </c>
    </row>
    <row r="13" spans="3:24" x14ac:dyDescent="0.25">
      <c r="C13" s="4"/>
      <c r="D13" s="4"/>
      <c r="E13" s="4"/>
      <c r="F13" s="4"/>
      <c r="G13" s="3"/>
      <c r="H13" s="84">
        <v>2015</v>
      </c>
      <c r="I13" s="85"/>
      <c r="J13" s="85"/>
      <c r="K13" s="86"/>
      <c r="L13" s="18"/>
      <c r="M13" s="18"/>
      <c r="N13" s="18"/>
      <c r="O13" s="18"/>
      <c r="P13" s="18"/>
      <c r="Q13" s="3"/>
      <c r="W13" s="21" t="s">
        <v>19</v>
      </c>
    </row>
    <row r="14" spans="3:24" x14ac:dyDescent="0.25">
      <c r="C14" s="4"/>
      <c r="D14" s="4"/>
      <c r="E14" s="4"/>
      <c r="F14" s="4"/>
      <c r="G14" s="3"/>
      <c r="H14" s="18"/>
      <c r="I14" s="18"/>
      <c r="J14" s="18"/>
      <c r="K14" s="18"/>
      <c r="L14" s="18"/>
      <c r="M14" s="18"/>
      <c r="N14" s="18"/>
      <c r="O14" s="18"/>
      <c r="P14" s="18"/>
      <c r="Q14" s="3"/>
      <c r="W14" s="21" t="s">
        <v>20</v>
      </c>
    </row>
    <row r="15" spans="3:24" x14ac:dyDescent="0.25">
      <c r="C15" s="4"/>
      <c r="D15" s="4"/>
      <c r="E15" s="4"/>
      <c r="F15" s="4"/>
      <c r="G15" s="3"/>
      <c r="H15" s="18"/>
      <c r="I15" s="18"/>
      <c r="J15" s="18"/>
      <c r="K15" s="18"/>
      <c r="L15" s="3"/>
      <c r="M15" s="3"/>
      <c r="N15" s="3"/>
      <c r="O15" s="3"/>
      <c r="P15" s="3"/>
      <c r="Q15" s="3"/>
      <c r="W15" s="21" t="s">
        <v>21</v>
      </c>
    </row>
    <row r="16" spans="3:24" x14ac:dyDescent="0.25">
      <c r="C16" s="4"/>
      <c r="D16" s="4"/>
      <c r="E16" s="4"/>
      <c r="F16" s="4"/>
      <c r="G16" s="3"/>
      <c r="H16" s="18"/>
      <c r="I16" s="18"/>
      <c r="J16" s="18"/>
      <c r="K16" s="18"/>
      <c r="L16" s="18"/>
      <c r="M16" s="18"/>
      <c r="N16" s="18"/>
      <c r="O16" s="18"/>
      <c r="P16" s="18"/>
      <c r="Q16" s="3"/>
      <c r="W16" s="21" t="s">
        <v>22</v>
      </c>
    </row>
    <row r="17" spans="3:24" x14ac:dyDescent="0.25">
      <c r="C17" s="4"/>
      <c r="D17" s="4"/>
      <c r="E17" s="4"/>
      <c r="F17" s="4"/>
      <c r="G17" s="3"/>
      <c r="H17" s="80"/>
      <c r="I17" s="80"/>
      <c r="J17" s="80"/>
      <c r="K17" s="18"/>
      <c r="L17" s="3"/>
      <c r="M17" s="3"/>
      <c r="N17" s="3"/>
      <c r="O17" s="3"/>
      <c r="P17" s="3"/>
      <c r="Q17" s="3"/>
      <c r="W17" s="21">
        <v>1</v>
      </c>
      <c r="X17" s="34" t="s">
        <v>37</v>
      </c>
    </row>
    <row r="18" spans="3:24" x14ac:dyDescent="0.25">
      <c r="C18" s="4"/>
      <c r="D18" s="4"/>
      <c r="E18" s="4"/>
      <c r="F18" s="4"/>
      <c r="G18" s="3"/>
      <c r="H18" s="80"/>
      <c r="I18" s="80"/>
      <c r="J18" s="80"/>
      <c r="K18" s="18"/>
      <c r="L18" s="3"/>
      <c r="M18" s="5"/>
      <c r="N18" s="5"/>
      <c r="O18" s="5"/>
      <c r="P18" s="5"/>
      <c r="Q18" s="3"/>
    </row>
    <row r="19" spans="3:24" x14ac:dyDescent="0.25">
      <c r="C19" s="4"/>
      <c r="D19" s="4"/>
      <c r="E19" s="4"/>
      <c r="F19" s="4"/>
      <c r="G19" s="3"/>
      <c r="H19" s="80"/>
      <c r="I19" s="80"/>
      <c r="J19" s="80"/>
      <c r="K19" s="18"/>
      <c r="L19" s="3"/>
      <c r="M19" s="5"/>
      <c r="N19" s="5"/>
      <c r="O19" s="5"/>
      <c r="P19" s="5"/>
      <c r="Q19" s="3"/>
    </row>
    <row r="20" spans="3:24" x14ac:dyDescent="0.25">
      <c r="C20" s="4"/>
      <c r="D20" s="4"/>
      <c r="E20" s="4"/>
      <c r="F20" s="4"/>
      <c r="G20" s="3"/>
      <c r="H20" s="18"/>
      <c r="I20" s="18"/>
      <c r="J20" s="18"/>
      <c r="K20" s="18"/>
      <c r="L20" s="18"/>
      <c r="M20" s="18"/>
      <c r="N20" s="18"/>
      <c r="O20" s="18"/>
      <c r="P20" s="18"/>
      <c r="Q20" s="3"/>
    </row>
    <row r="21" spans="3:24" x14ac:dyDescent="0.25">
      <c r="C21" s="4"/>
      <c r="D21" s="4"/>
      <c r="E21" s="4"/>
      <c r="F21" s="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3:24" x14ac:dyDescent="0.25">
      <c r="C22" s="4"/>
      <c r="D22" s="4"/>
      <c r="E22" s="4"/>
      <c r="F22" s="4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3:24" x14ac:dyDescent="0.25">
      <c r="C23" s="4"/>
      <c r="D23" s="4"/>
      <c r="E23" s="4"/>
      <c r="F23" s="4"/>
      <c r="G23" s="3"/>
      <c r="H23" s="27" t="s">
        <v>7</v>
      </c>
      <c r="I23" s="27"/>
      <c r="J23" s="27"/>
      <c r="K23" s="27"/>
      <c r="L23" s="28"/>
      <c r="M23" s="28"/>
      <c r="N23" s="28"/>
      <c r="O23" s="28"/>
      <c r="P23" s="28"/>
      <c r="Q23" s="3"/>
    </row>
    <row r="24" spans="3:24" ht="18.75" x14ac:dyDescent="0.3">
      <c r="C24" s="4"/>
      <c r="D24" s="4"/>
      <c r="E24" s="4"/>
      <c r="F24" s="4"/>
      <c r="G24" s="3"/>
      <c r="H24" s="17"/>
      <c r="I24" s="17"/>
      <c r="J24" s="17"/>
      <c r="K24" s="17"/>
      <c r="L24" s="17"/>
      <c r="M24" s="17"/>
      <c r="N24" s="17"/>
      <c r="O24" s="17"/>
      <c r="P24" s="17"/>
      <c r="Q24" s="3"/>
    </row>
    <row r="25" spans="3:24" ht="20.100000000000001" customHeight="1" x14ac:dyDescent="0.3">
      <c r="C25" s="4"/>
      <c r="D25" s="4"/>
      <c r="E25" s="4"/>
      <c r="F25" s="4"/>
      <c r="G25" s="3"/>
      <c r="H25" s="14" t="s">
        <v>55</v>
      </c>
      <c r="I25" s="14"/>
      <c r="J25" s="14"/>
      <c r="K25" s="67">
        <f>INDEX(Productos!A:A,1+W4)</f>
        <v>119</v>
      </c>
      <c r="L25" s="67"/>
      <c r="M25" s="67"/>
      <c r="N25" s="67"/>
      <c r="O25" s="67"/>
      <c r="P25" s="67"/>
      <c r="Q25" s="3"/>
    </row>
    <row r="26" spans="3:24" ht="20.100000000000001" customHeight="1" x14ac:dyDescent="0.3">
      <c r="C26" s="4"/>
      <c r="D26" s="4"/>
      <c r="E26" s="4"/>
      <c r="F26" s="4"/>
      <c r="G26" s="3"/>
      <c r="H26" s="14" t="s">
        <v>6</v>
      </c>
      <c r="I26" s="14"/>
      <c r="J26" s="14"/>
      <c r="K26" s="15" t="str">
        <f>INDEX(Productos!B:B,1+W4)</f>
        <v>Caviar Beluga</v>
      </c>
      <c r="L26" s="15"/>
      <c r="M26" s="15"/>
      <c r="N26" s="15"/>
      <c r="O26" s="15"/>
      <c r="P26" s="15"/>
      <c r="Q26" s="3"/>
    </row>
    <row r="27" spans="3:24" ht="20.100000000000001" customHeight="1" x14ac:dyDescent="0.3">
      <c r="C27" s="4"/>
      <c r="D27" s="4"/>
      <c r="E27" s="4"/>
      <c r="F27" s="4"/>
      <c r="G27" s="3"/>
      <c r="H27" s="14" t="s">
        <v>40</v>
      </c>
      <c r="I27" s="14"/>
      <c r="J27" s="14"/>
      <c r="K27" s="15" t="str">
        <f>INDEX(Productos!D:D,1+W4)</f>
        <v>Baltico</v>
      </c>
      <c r="L27" s="15"/>
      <c r="M27" s="15"/>
      <c r="N27" s="15"/>
      <c r="O27" s="15"/>
      <c r="P27" s="15"/>
      <c r="Q27" s="3"/>
    </row>
    <row r="28" spans="3:24" ht="20.100000000000001" customHeight="1" x14ac:dyDescent="0.3">
      <c r="C28" s="4"/>
      <c r="D28" s="4"/>
      <c r="E28" s="4"/>
      <c r="F28" s="4"/>
      <c r="G28" s="3"/>
      <c r="H28" s="15" t="s">
        <v>32</v>
      </c>
      <c r="I28" s="15"/>
      <c r="J28" s="15"/>
      <c r="K28" s="16">
        <f>INDEX(Productos!C:C,1+W4)</f>
        <v>1000</v>
      </c>
      <c r="L28" s="16"/>
      <c r="M28" s="16"/>
      <c r="N28" s="16"/>
      <c r="O28" s="16"/>
      <c r="P28" s="16"/>
      <c r="Q28" s="3"/>
    </row>
    <row r="29" spans="3:24" ht="20.100000000000001" customHeight="1" x14ac:dyDescent="0.3">
      <c r="C29" s="4"/>
      <c r="D29" s="4"/>
      <c r="E29" s="4"/>
      <c r="F29" s="4"/>
      <c r="G29" s="3"/>
      <c r="H29" s="14" t="s">
        <v>10</v>
      </c>
      <c r="I29" s="14"/>
      <c r="J29" s="14"/>
      <c r="K29" s="15" t="str">
        <f>INDEX(W5:W16,W17)</f>
        <v>Enero</v>
      </c>
      <c r="L29" s="15"/>
      <c r="M29" s="15"/>
      <c r="N29" s="15"/>
      <c r="O29" s="15"/>
      <c r="P29" s="15"/>
      <c r="Q29" s="3"/>
    </row>
    <row r="30" spans="3:24" ht="20.100000000000001" customHeight="1" x14ac:dyDescent="0.3">
      <c r="C30" s="4"/>
      <c r="D30" s="4"/>
      <c r="E30" s="4"/>
      <c r="F30" s="4"/>
      <c r="G30" s="3"/>
      <c r="H30" s="14" t="s">
        <v>23</v>
      </c>
      <c r="I30" s="14"/>
      <c r="J30" s="14"/>
      <c r="K30" s="15">
        <f>H13</f>
        <v>2015</v>
      </c>
      <c r="L30" s="15"/>
      <c r="M30" s="15"/>
      <c r="N30" s="15"/>
      <c r="O30" s="15"/>
      <c r="P30" s="15"/>
      <c r="Q30" s="3"/>
    </row>
    <row r="31" spans="3:24" ht="20.100000000000001" customHeight="1" x14ac:dyDescent="0.3">
      <c r="C31" s="4"/>
      <c r="D31" s="4"/>
      <c r="E31" s="4"/>
      <c r="F31" s="4"/>
      <c r="G31" s="3"/>
      <c r="H31" s="14" t="s">
        <v>9</v>
      </c>
      <c r="I31" s="14"/>
      <c r="J31" s="14"/>
      <c r="K31" s="15">
        <f>H7</f>
        <v>1</v>
      </c>
      <c r="L31" s="15"/>
      <c r="M31" s="15"/>
      <c r="N31" s="15"/>
      <c r="O31" s="15"/>
      <c r="P31" s="15"/>
      <c r="Q31" s="3"/>
    </row>
    <row r="32" spans="3:24" ht="18.75" x14ac:dyDescent="0.3">
      <c r="C32" s="4"/>
      <c r="D32" s="4"/>
      <c r="E32" s="4"/>
      <c r="F32" s="4"/>
      <c r="G32" s="3"/>
      <c r="H32" s="14"/>
      <c r="I32" s="14"/>
      <c r="J32" s="14"/>
      <c r="K32" s="14"/>
      <c r="L32" s="14"/>
      <c r="M32" s="14"/>
      <c r="N32" s="14"/>
      <c r="O32" s="14"/>
      <c r="P32" s="14"/>
      <c r="Q32" s="3"/>
    </row>
  </sheetData>
  <mergeCells count="10">
    <mergeCell ref="I17:J19"/>
    <mergeCell ref="K25:P25"/>
    <mergeCell ref="C3:Q3"/>
    <mergeCell ref="H6:K6"/>
    <mergeCell ref="H7:K7"/>
    <mergeCell ref="H13:K13"/>
    <mergeCell ref="H9:K9"/>
    <mergeCell ref="H12:K12"/>
    <mergeCell ref="C4:F4"/>
    <mergeCell ref="H17:H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gregarVenta_AgregarButton_Click">
                <anchor moveWithCells="1" sizeWithCells="1">
                  <from>
                    <xdr:col>12</xdr:col>
                    <xdr:colOff>47625</xdr:colOff>
                    <xdr:row>17</xdr:row>
                    <xdr:rowOff>47625</xdr:rowOff>
                  </from>
                  <to>
                    <xdr:col>15</xdr:col>
                    <xdr:colOff>666750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AgregarVenta_ProductoListBox">
              <controlPr defaultSize="0" autoLine="0" autoPict="0">
                <anchor mov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6</xdr:col>
                    <xdr:colOff>0</xdr:colOff>
                    <xdr:row>31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W64"/>
  <sheetViews>
    <sheetView topLeftCell="A13" workbookViewId="0">
      <selection activeCell="H8" sqref="H8"/>
    </sheetView>
  </sheetViews>
  <sheetFormatPr defaultRowHeight="15" x14ac:dyDescent="0.25"/>
  <cols>
    <col min="1" max="18" width="10.7109375" customWidth="1"/>
    <col min="21" max="22" width="9.140625" style="1"/>
    <col min="23" max="23" width="15.7109375" customWidth="1"/>
    <col min="25" max="25" width="12.42578125" customWidth="1"/>
  </cols>
  <sheetData>
    <row r="1" spans="3:23" x14ac:dyDescent="0.25">
      <c r="V1" s="7"/>
    </row>
    <row r="2" spans="3:23" x14ac:dyDescent="0.25">
      <c r="V2" s="7"/>
    </row>
    <row r="3" spans="3:23" ht="18.75" x14ac:dyDescent="0.3">
      <c r="C3" s="36" t="s">
        <v>25</v>
      </c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V3" s="7"/>
    </row>
    <row r="4" spans="3:23" x14ac:dyDescent="0.25">
      <c r="C4" s="87" t="s">
        <v>48</v>
      </c>
      <c r="D4" s="87"/>
      <c r="E4" s="87"/>
      <c r="F4" s="8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V4" s="26" t="s">
        <v>8</v>
      </c>
      <c r="W4" s="20">
        <v>1</v>
      </c>
    </row>
    <row r="5" spans="3:23" x14ac:dyDescent="0.25">
      <c r="C5" s="4"/>
      <c r="D5" s="4"/>
      <c r="E5" s="4"/>
      <c r="F5" s="4"/>
      <c r="G5" s="3"/>
      <c r="H5" s="3"/>
      <c r="I5" s="3"/>
      <c r="J5" s="3"/>
      <c r="K5" s="3"/>
      <c r="L5" s="3"/>
      <c r="M5" s="18"/>
      <c r="N5" s="18"/>
      <c r="O5" s="18"/>
      <c r="P5" s="18"/>
      <c r="Q5" s="3"/>
      <c r="V5" s="7"/>
      <c r="W5" s="20"/>
    </row>
    <row r="6" spans="3:23" x14ac:dyDescent="0.25">
      <c r="C6" s="4"/>
      <c r="D6" s="4"/>
      <c r="E6" s="4"/>
      <c r="F6" s="4"/>
      <c r="G6" s="3"/>
      <c r="H6" s="37" t="s">
        <v>24</v>
      </c>
      <c r="I6" s="37"/>
      <c r="J6" s="37"/>
      <c r="K6" s="37"/>
      <c r="L6" s="3"/>
      <c r="M6" s="18"/>
      <c r="N6" s="18"/>
      <c r="O6" s="18"/>
      <c r="P6" s="18"/>
      <c r="Q6" s="3"/>
      <c r="V6" s="7"/>
      <c r="W6" s="20">
        <v>1</v>
      </c>
    </row>
    <row r="7" spans="3:23" x14ac:dyDescent="0.25">
      <c r="C7" s="4"/>
      <c r="D7" s="4"/>
      <c r="E7" s="4"/>
      <c r="F7" s="4"/>
      <c r="G7" s="3"/>
      <c r="H7" s="84">
        <v>2014</v>
      </c>
      <c r="I7" s="85"/>
      <c r="J7" s="85"/>
      <c r="K7" s="86"/>
      <c r="L7" s="3"/>
      <c r="M7" s="18"/>
      <c r="N7" s="18"/>
      <c r="O7" s="18"/>
      <c r="P7" s="18"/>
      <c r="Q7" s="3"/>
      <c r="V7" s="7"/>
    </row>
    <row r="8" spans="3:23" x14ac:dyDescent="0.25">
      <c r="C8" s="4"/>
      <c r="D8" s="4"/>
      <c r="E8" s="4"/>
      <c r="F8" s="4"/>
      <c r="G8" s="3"/>
      <c r="H8" s="3"/>
      <c r="I8" s="3"/>
      <c r="J8" s="3"/>
      <c r="K8" s="3"/>
      <c r="L8" s="3"/>
      <c r="M8" s="18"/>
      <c r="N8" s="18"/>
      <c r="O8" s="18"/>
      <c r="P8" s="18"/>
      <c r="Q8" s="3"/>
      <c r="V8" s="7"/>
    </row>
    <row r="9" spans="3:23" x14ac:dyDescent="0.25">
      <c r="C9" s="4"/>
      <c r="D9" s="4"/>
      <c r="E9" s="4"/>
      <c r="F9" s="4"/>
      <c r="G9" s="3"/>
      <c r="H9" s="3"/>
      <c r="I9" s="3"/>
      <c r="J9" s="3"/>
      <c r="K9" s="3"/>
      <c r="L9" s="3"/>
      <c r="M9" s="18"/>
      <c r="N9" s="18"/>
      <c r="O9" s="18"/>
      <c r="P9" s="18"/>
      <c r="Q9" s="3"/>
      <c r="V9" s="7"/>
    </row>
    <row r="10" spans="3:23" x14ac:dyDescent="0.25">
      <c r="C10" s="4"/>
      <c r="D10" s="4"/>
      <c r="E10" s="4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V10" s="7"/>
    </row>
    <row r="11" spans="3:23" x14ac:dyDescent="0.25">
      <c r="C11" s="4"/>
      <c r="D11" s="4"/>
      <c r="E11" s="4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V11" s="7"/>
    </row>
    <row r="12" spans="3:23" x14ac:dyDescent="0.25">
      <c r="C12" s="4"/>
      <c r="D12" s="4"/>
      <c r="E12" s="4"/>
      <c r="F12" s="4"/>
      <c r="G12" s="3"/>
      <c r="H12" s="3"/>
      <c r="I12" s="3"/>
      <c r="J12" s="3"/>
      <c r="K12" s="3"/>
      <c r="L12" s="3"/>
      <c r="M12" s="10"/>
      <c r="N12" s="10"/>
      <c r="O12" s="10"/>
      <c r="P12" s="10"/>
      <c r="Q12" s="3"/>
      <c r="V12" s="7"/>
    </row>
    <row r="13" spans="3:23" x14ac:dyDescent="0.25">
      <c r="C13" s="4"/>
      <c r="D13" s="4"/>
      <c r="E13" s="4"/>
      <c r="F13" s="4"/>
      <c r="G13" s="3"/>
      <c r="H13" s="4"/>
      <c r="I13" s="4"/>
      <c r="J13" s="4"/>
      <c r="K13" s="4"/>
      <c r="L13" s="3"/>
      <c r="M13" s="3"/>
      <c r="N13" s="3"/>
      <c r="O13" s="3"/>
      <c r="P13" s="3"/>
      <c r="Q13" s="3"/>
      <c r="V13" s="7"/>
    </row>
    <row r="14" spans="3:23" x14ac:dyDescent="0.25">
      <c r="C14" s="4"/>
      <c r="D14" s="4"/>
      <c r="E14" s="4"/>
      <c r="F14" s="4"/>
      <c r="G14" s="3"/>
      <c r="H14" s="4"/>
      <c r="I14" s="4"/>
      <c r="J14" s="4"/>
      <c r="K14" s="4"/>
      <c r="L14" s="3"/>
      <c r="M14" s="3"/>
      <c r="N14" s="3"/>
      <c r="O14" s="3"/>
      <c r="P14" s="3"/>
      <c r="Q14" s="3"/>
      <c r="V14" s="7"/>
    </row>
    <row r="15" spans="3:23" x14ac:dyDescent="0.25">
      <c r="C15" s="4"/>
      <c r="D15" s="4"/>
      <c r="E15" s="4"/>
      <c r="F15" s="4"/>
      <c r="G15" s="3"/>
      <c r="H15" s="4"/>
      <c r="I15" s="4"/>
      <c r="J15" s="4"/>
      <c r="K15" s="4"/>
      <c r="L15" s="3"/>
      <c r="M15" s="5"/>
      <c r="N15" s="5"/>
      <c r="O15" s="5"/>
      <c r="P15" s="5"/>
      <c r="Q15" s="3"/>
      <c r="V15" s="7"/>
    </row>
    <row r="16" spans="3:23" x14ac:dyDescent="0.25">
      <c r="C16" s="4"/>
      <c r="D16" s="4"/>
      <c r="E16" s="4"/>
      <c r="F16" s="4"/>
      <c r="G16" s="3"/>
      <c r="H16" s="4"/>
      <c r="I16" s="4"/>
      <c r="J16" s="4"/>
      <c r="K16" s="4"/>
      <c r="L16" s="3"/>
      <c r="M16" s="5"/>
      <c r="N16" s="5"/>
      <c r="O16" s="5"/>
      <c r="P16" s="5"/>
      <c r="Q16" s="3"/>
      <c r="V16" s="7"/>
    </row>
    <row r="17" spans="3:22" x14ac:dyDescent="0.25">
      <c r="C17" s="4"/>
      <c r="D17" s="4"/>
      <c r="E17" s="4"/>
      <c r="F17" s="4"/>
      <c r="G17" s="3"/>
      <c r="H17" s="19"/>
      <c r="I17" s="19"/>
      <c r="J17" s="19"/>
      <c r="K17" s="4"/>
      <c r="L17" s="3"/>
      <c r="M17" s="3"/>
      <c r="N17" s="3"/>
      <c r="O17" s="3"/>
      <c r="P17" s="3"/>
      <c r="Q17" s="3"/>
      <c r="V17" s="7"/>
    </row>
    <row r="18" spans="3:22" x14ac:dyDescent="0.25">
      <c r="C18" s="4"/>
      <c r="D18" s="4"/>
      <c r="E18" s="4"/>
      <c r="F18" s="4"/>
      <c r="G18" s="3"/>
      <c r="H18" s="19"/>
      <c r="I18" s="19"/>
      <c r="J18" s="19"/>
      <c r="K18" s="4"/>
      <c r="L18" s="3"/>
      <c r="M18" s="5"/>
      <c r="N18" s="5"/>
      <c r="O18" s="5"/>
      <c r="P18" s="5"/>
      <c r="Q18" s="3"/>
      <c r="V18" s="7"/>
    </row>
    <row r="19" spans="3:22" x14ac:dyDescent="0.25">
      <c r="C19" s="4"/>
      <c r="D19" s="4"/>
      <c r="E19" s="4"/>
      <c r="F19" s="4"/>
      <c r="G19" s="3"/>
      <c r="H19" s="19"/>
      <c r="I19" s="19"/>
      <c r="J19" s="19"/>
      <c r="K19" s="4"/>
      <c r="L19" s="3"/>
      <c r="M19" s="5"/>
      <c r="N19" s="5"/>
      <c r="O19" s="5"/>
      <c r="P19" s="5"/>
      <c r="Q19" s="3"/>
      <c r="V19" s="7"/>
    </row>
    <row r="20" spans="3:22" x14ac:dyDescent="0.25">
      <c r="C20" s="4"/>
      <c r="D20" s="4"/>
      <c r="E20" s="4"/>
      <c r="F20" s="4"/>
      <c r="G20" s="3"/>
      <c r="H20" s="4"/>
      <c r="I20" s="4"/>
      <c r="J20" s="4"/>
      <c r="K20" s="4"/>
      <c r="L20" s="3"/>
      <c r="M20" s="3"/>
      <c r="N20" s="3"/>
      <c r="O20" s="3"/>
      <c r="P20" s="3"/>
      <c r="Q20" s="3"/>
      <c r="V20" s="7"/>
    </row>
    <row r="21" spans="3:22" x14ac:dyDescent="0.25">
      <c r="C21" s="4"/>
      <c r="D21" s="4"/>
      <c r="E21" s="4"/>
      <c r="F21" s="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V21" s="7"/>
    </row>
    <row r="22" spans="3:22" x14ac:dyDescent="0.25">
      <c r="C22" s="4"/>
      <c r="D22" s="4"/>
      <c r="E22" s="4"/>
      <c r="F22" s="4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V22" s="7"/>
    </row>
    <row r="23" spans="3:22" x14ac:dyDescent="0.25">
      <c r="C23" s="4"/>
      <c r="D23" s="4"/>
      <c r="E23" s="4"/>
      <c r="F23" s="4"/>
      <c r="G23" s="3"/>
      <c r="H23" s="27" t="s">
        <v>7</v>
      </c>
      <c r="I23" s="27"/>
      <c r="J23" s="27"/>
      <c r="K23" s="27"/>
      <c r="L23" s="28"/>
      <c r="M23" s="28"/>
      <c r="N23" s="28"/>
      <c r="O23" s="28"/>
      <c r="P23" s="28"/>
      <c r="Q23" s="3"/>
      <c r="V23" s="7"/>
    </row>
    <row r="24" spans="3:22" x14ac:dyDescent="0.25"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3"/>
      <c r="V24" s="7"/>
    </row>
    <row r="25" spans="3:22" ht="20.100000000000001" customHeight="1" x14ac:dyDescent="0.3">
      <c r="C25" s="4"/>
      <c r="D25" s="4"/>
      <c r="E25" s="4"/>
      <c r="F25" s="4"/>
      <c r="G25" s="3"/>
      <c r="H25" s="14" t="s">
        <v>55</v>
      </c>
      <c r="I25" s="14"/>
      <c r="J25" s="14"/>
      <c r="K25" s="67">
        <f>INDEX(Productos!A:A,1+'Grafica Mes'!W4)</f>
        <v>101</v>
      </c>
      <c r="L25" s="67"/>
      <c r="M25" s="67"/>
      <c r="N25" s="67"/>
      <c r="O25" s="67"/>
      <c r="P25" s="67"/>
      <c r="Q25" s="3"/>
      <c r="V25" s="7"/>
    </row>
    <row r="26" spans="3:22" ht="20.100000000000001" customHeight="1" x14ac:dyDescent="0.3">
      <c r="C26" s="4"/>
      <c r="D26" s="4"/>
      <c r="E26" s="4"/>
      <c r="F26" s="4"/>
      <c r="G26" s="3"/>
      <c r="H26" s="14" t="s">
        <v>6</v>
      </c>
      <c r="I26" s="14"/>
      <c r="J26" s="14"/>
      <c r="K26" s="15" t="str">
        <f>INDEX(Productos!B:B,1+W4)</f>
        <v>Calamares romana</v>
      </c>
      <c r="L26" s="15"/>
      <c r="M26" s="15"/>
      <c r="N26" s="15"/>
      <c r="O26" s="15"/>
      <c r="P26" s="15"/>
      <c r="Q26" s="3"/>
      <c r="V26" s="7"/>
    </row>
    <row r="27" spans="3:22" ht="20.100000000000001" customHeight="1" x14ac:dyDescent="0.3">
      <c r="C27" s="4"/>
      <c r="D27" s="4"/>
      <c r="E27" s="4"/>
      <c r="F27" s="4"/>
      <c r="G27" s="3"/>
      <c r="H27" s="14" t="s">
        <v>34</v>
      </c>
      <c r="I27" s="14"/>
      <c r="J27" s="14"/>
      <c r="K27" s="15" t="str">
        <f>INDEX(Productos!D:D,1+'Grafica Mes'!W4)</f>
        <v>Etiqueta Oscura</v>
      </c>
      <c r="L27" s="15"/>
      <c r="M27" s="15"/>
      <c r="N27" s="15"/>
      <c r="O27" s="15"/>
      <c r="P27" s="15"/>
      <c r="Q27" s="3"/>
      <c r="V27" s="7"/>
    </row>
    <row r="28" spans="3:22" ht="20.100000000000001" customHeight="1" x14ac:dyDescent="0.3">
      <c r="C28" s="4"/>
      <c r="D28" s="4"/>
      <c r="E28" s="4"/>
      <c r="F28" s="4"/>
      <c r="G28" s="3"/>
      <c r="H28" s="14" t="s">
        <v>32</v>
      </c>
      <c r="I28" s="17"/>
      <c r="J28" s="17"/>
      <c r="K28" s="16">
        <f>INDEX(Productos!C:C,1+'Grafica Mes'!W4)</f>
        <v>1.34</v>
      </c>
      <c r="L28" s="16"/>
      <c r="M28" s="16"/>
      <c r="N28" s="16"/>
      <c r="O28" s="16"/>
      <c r="P28" s="16"/>
      <c r="Q28" s="3"/>
      <c r="V28" s="7"/>
    </row>
    <row r="29" spans="3:22" ht="20.100000000000001" customHeight="1" x14ac:dyDescent="0.3">
      <c r="C29" s="4"/>
      <c r="D29" s="4"/>
      <c r="E29" s="4"/>
      <c r="F29" s="4"/>
      <c r="G29" s="3"/>
      <c r="H29" s="14" t="s">
        <v>23</v>
      </c>
      <c r="I29" s="14"/>
      <c r="J29" s="14"/>
      <c r="K29" s="15">
        <f>H7</f>
        <v>2014</v>
      </c>
      <c r="L29" s="15"/>
      <c r="M29" s="15"/>
      <c r="N29" s="15"/>
      <c r="O29" s="15"/>
      <c r="P29" s="15"/>
      <c r="Q29" s="3"/>
      <c r="V29" s="7"/>
    </row>
    <row r="30" spans="3:22" x14ac:dyDescent="0.25">
      <c r="C30" s="4"/>
      <c r="D30" s="4"/>
      <c r="E30" s="4"/>
      <c r="F30" s="4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V30" s="7"/>
    </row>
    <row r="31" spans="3:22" x14ac:dyDescent="0.25">
      <c r="C31" s="4"/>
      <c r="D31" s="4"/>
      <c r="E31" s="4"/>
      <c r="F31" s="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V31" s="7"/>
    </row>
    <row r="32" spans="3:22" x14ac:dyDescent="0.25">
      <c r="C32" s="4"/>
      <c r="D32" s="4"/>
      <c r="E32" s="4"/>
      <c r="F32" s="4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V32" s="7"/>
    </row>
    <row r="33" spans="22:22" x14ac:dyDescent="0.25">
      <c r="V33"/>
    </row>
    <row r="34" spans="22:22" x14ac:dyDescent="0.25">
      <c r="V34"/>
    </row>
    <row r="63" spans="3:21" x14ac:dyDescent="0.25">
      <c r="C63" s="13" t="s">
        <v>11</v>
      </c>
      <c r="D63" s="13" t="s">
        <v>12</v>
      </c>
      <c r="E63" s="13" t="s">
        <v>13</v>
      </c>
      <c r="F63" s="13" t="s">
        <v>14</v>
      </c>
      <c r="G63" s="13" t="s">
        <v>15</v>
      </c>
      <c r="H63" s="13" t="s">
        <v>16</v>
      </c>
      <c r="I63" s="13" t="s">
        <v>17</v>
      </c>
      <c r="J63" s="13" t="s">
        <v>18</v>
      </c>
      <c r="K63" s="13" t="s">
        <v>19</v>
      </c>
      <c r="L63" s="13" t="s">
        <v>20</v>
      </c>
      <c r="M63" s="13" t="s">
        <v>21</v>
      </c>
      <c r="N63" s="13" t="s">
        <v>22</v>
      </c>
      <c r="O63" s="9" t="s">
        <v>33</v>
      </c>
      <c r="P63" s="9"/>
      <c r="Q63" s="9"/>
      <c r="R63" s="8"/>
      <c r="S63" s="8"/>
      <c r="T63" s="9"/>
      <c r="U63" s="9"/>
    </row>
    <row r="64" spans="3:21" x14ac:dyDescent="0.25">
      <c r="C64">
        <v>11</v>
      </c>
      <c r="D64">
        <v>11</v>
      </c>
      <c r="E64">
        <v>11</v>
      </c>
      <c r="F64">
        <v>11</v>
      </c>
      <c r="G64">
        <v>11</v>
      </c>
      <c r="H64">
        <v>11</v>
      </c>
      <c r="I64">
        <v>11</v>
      </c>
      <c r="J64">
        <v>11</v>
      </c>
      <c r="K64">
        <v>11</v>
      </c>
      <c r="L64">
        <v>11</v>
      </c>
      <c r="M64">
        <v>11</v>
      </c>
      <c r="N64">
        <v>11</v>
      </c>
      <c r="O64" t="s">
        <v>97</v>
      </c>
    </row>
  </sheetData>
  <mergeCells count="5">
    <mergeCell ref="H6:K6"/>
    <mergeCell ref="H7:K7"/>
    <mergeCell ref="C4:F4"/>
    <mergeCell ref="C3:Q3"/>
    <mergeCell ref="K25:P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aficaMes_ProductoListBox">
              <controlPr defaultSize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raficaMes_CrearGrafica_Click">
                <anchor moveWithCells="1" sizeWithCells="1">
                  <from>
                    <xdr:col>12</xdr:col>
                    <xdr:colOff>47625</xdr:colOff>
                    <xdr:row>17</xdr:row>
                    <xdr:rowOff>47625</xdr:rowOff>
                  </from>
                  <to>
                    <xdr:col>15</xdr:col>
                    <xdr:colOff>666750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GraficaMes_ResetButton_Click">
                <anchor moveWithCells="1" sizeWithCells="1">
                  <from>
                    <xdr:col>12</xdr:col>
                    <xdr:colOff>38100</xdr:colOff>
                    <xdr:row>14</xdr:row>
                    <xdr:rowOff>38100</xdr:rowOff>
                  </from>
                  <to>
                    <xdr:col>15</xdr:col>
                    <xdr:colOff>676275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4"/>
  <sheetViews>
    <sheetView workbookViewId="0">
      <selection activeCell="B6" sqref="B6"/>
    </sheetView>
  </sheetViews>
  <sheetFormatPr defaultRowHeight="15" x14ac:dyDescent="0.25"/>
  <cols>
    <col min="1" max="1" width="15.7109375" customWidth="1"/>
    <col min="2" max="2" width="37.85546875" customWidth="1"/>
    <col min="3" max="3" width="21.5703125" customWidth="1"/>
    <col min="4" max="4" width="45.42578125" customWidth="1"/>
    <col min="5" max="5" width="16.5703125" customWidth="1"/>
    <col min="6" max="6" width="17.28515625" customWidth="1"/>
    <col min="7" max="7" width="21.7109375" customWidth="1"/>
    <col min="8" max="8" width="13.7109375" customWidth="1"/>
    <col min="17" max="17" width="13.7109375" customWidth="1"/>
    <col min="18" max="18" width="14.7109375" customWidth="1"/>
  </cols>
  <sheetData>
    <row r="1" spans="1:8" x14ac:dyDescent="0.25">
      <c r="A1" s="6" t="s">
        <v>3</v>
      </c>
      <c r="B1" s="6" t="s">
        <v>4</v>
      </c>
      <c r="C1" s="6" t="s">
        <v>31</v>
      </c>
      <c r="D1" s="6" t="s">
        <v>33</v>
      </c>
      <c r="E1" s="33" t="s">
        <v>27</v>
      </c>
      <c r="F1" s="12">
        <v>120</v>
      </c>
      <c r="G1" s="33" t="s">
        <v>28</v>
      </c>
      <c r="H1" s="12">
        <v>15</v>
      </c>
    </row>
    <row r="2" spans="1:8" x14ac:dyDescent="0.25">
      <c r="A2">
        <v>101</v>
      </c>
      <c r="B2" t="s">
        <v>76</v>
      </c>
      <c r="C2">
        <v>1.34</v>
      </c>
      <c r="D2" t="s">
        <v>63</v>
      </c>
    </row>
    <row r="3" spans="1:8" x14ac:dyDescent="0.25">
      <c r="A3">
        <v>102</v>
      </c>
      <c r="B3" t="s">
        <v>91</v>
      </c>
      <c r="C3">
        <v>2</v>
      </c>
    </row>
    <row r="4" spans="1:8" x14ac:dyDescent="0.25">
      <c r="A4">
        <v>103</v>
      </c>
      <c r="B4" t="s">
        <v>93</v>
      </c>
      <c r="C4">
        <v>5</v>
      </c>
    </row>
    <row r="5" spans="1:8" x14ac:dyDescent="0.25">
      <c r="A5">
        <v>105</v>
      </c>
      <c r="B5" t="s">
        <v>35</v>
      </c>
      <c r="C5">
        <v>1</v>
      </c>
      <c r="D5" t="s">
        <v>36</v>
      </c>
    </row>
    <row r="6" spans="1:8" x14ac:dyDescent="0.25">
      <c r="A6">
        <v>106</v>
      </c>
      <c r="B6" t="s">
        <v>49</v>
      </c>
      <c r="C6">
        <v>12</v>
      </c>
      <c r="D6" t="s">
        <v>50</v>
      </c>
    </row>
    <row r="7" spans="1:8" x14ac:dyDescent="0.25">
      <c r="A7">
        <v>107</v>
      </c>
      <c r="B7" t="s">
        <v>53</v>
      </c>
      <c r="C7">
        <v>3</v>
      </c>
      <c r="D7" t="s">
        <v>36</v>
      </c>
    </row>
    <row r="8" spans="1:8" x14ac:dyDescent="0.25">
      <c r="A8">
        <v>108</v>
      </c>
      <c r="B8" t="s">
        <v>43</v>
      </c>
      <c r="C8">
        <v>2</v>
      </c>
      <c r="D8" t="s">
        <v>89</v>
      </c>
    </row>
    <row r="9" spans="1:8" x14ac:dyDescent="0.25">
      <c r="A9">
        <v>109</v>
      </c>
      <c r="B9" t="s">
        <v>51</v>
      </c>
      <c r="C9">
        <v>5</v>
      </c>
      <c r="D9" t="s">
        <v>52</v>
      </c>
    </row>
    <row r="10" spans="1:8" x14ac:dyDescent="0.25">
      <c r="A10">
        <v>111</v>
      </c>
      <c r="B10" t="s">
        <v>44</v>
      </c>
      <c r="C10">
        <v>6</v>
      </c>
      <c r="D10" t="s">
        <v>45</v>
      </c>
    </row>
    <row r="11" spans="1:8" x14ac:dyDescent="0.25">
      <c r="A11">
        <v>112</v>
      </c>
      <c r="B11" t="s">
        <v>54</v>
      </c>
      <c r="C11">
        <v>3</v>
      </c>
      <c r="D11" t="s">
        <v>45</v>
      </c>
    </row>
    <row r="12" spans="1:8" x14ac:dyDescent="0.25">
      <c r="A12">
        <v>114</v>
      </c>
      <c r="B12" t="s">
        <v>59</v>
      </c>
      <c r="C12">
        <v>5</v>
      </c>
      <c r="D12" t="s">
        <v>60</v>
      </c>
    </row>
    <row r="13" spans="1:8" x14ac:dyDescent="0.25">
      <c r="A13">
        <v>116</v>
      </c>
      <c r="B13" t="s">
        <v>71</v>
      </c>
      <c r="C13">
        <v>2</v>
      </c>
      <c r="D13" t="s">
        <v>72</v>
      </c>
    </row>
    <row r="14" spans="1:8" x14ac:dyDescent="0.25">
      <c r="A14">
        <v>117</v>
      </c>
      <c r="B14" t="s">
        <v>77</v>
      </c>
      <c r="C14">
        <v>3</v>
      </c>
      <c r="D14" t="s">
        <v>78</v>
      </c>
    </row>
    <row r="15" spans="1:8" x14ac:dyDescent="0.25">
      <c r="A15">
        <v>119</v>
      </c>
      <c r="B15" t="s">
        <v>82</v>
      </c>
      <c r="C15">
        <v>1000</v>
      </c>
      <c r="D15" t="s">
        <v>83</v>
      </c>
    </row>
    <row r="16" spans="1:8" x14ac:dyDescent="0.25">
      <c r="A16">
        <v>120</v>
      </c>
      <c r="B16" t="s">
        <v>67</v>
      </c>
      <c r="C16">
        <v>25</v>
      </c>
      <c r="D16" t="s">
        <v>68</v>
      </c>
    </row>
    <row r="103" spans="1:4" x14ac:dyDescent="0.25">
      <c r="A103">
        <v>1</v>
      </c>
      <c r="B103" t="s">
        <v>38</v>
      </c>
      <c r="C103">
        <v>1000</v>
      </c>
      <c r="D103" t="s">
        <v>36</v>
      </c>
    </row>
    <row r="104" spans="1:4" x14ac:dyDescent="0.25">
      <c r="A104">
        <v>2</v>
      </c>
      <c r="B104" t="s">
        <v>38</v>
      </c>
      <c r="C104">
        <v>1000</v>
      </c>
      <c r="D104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tabSelected="1" workbookViewId="0">
      <selection activeCell="B33" sqref="B33"/>
    </sheetView>
  </sheetViews>
  <sheetFormatPr defaultRowHeight="15" x14ac:dyDescent="0.25"/>
  <cols>
    <col min="1" max="1" width="16.28515625" customWidth="1"/>
    <col min="2" max="2" width="84" customWidth="1"/>
    <col min="3" max="3" width="13.42578125" customWidth="1"/>
    <col min="4" max="4" width="17.42578125" customWidth="1"/>
    <col min="5" max="5" width="20.5703125" customWidth="1"/>
  </cols>
  <sheetData>
    <row r="1" spans="1:6" x14ac:dyDescent="0.25">
      <c r="A1" s="6" t="s">
        <v>56</v>
      </c>
      <c r="B1" s="6" t="s">
        <v>30</v>
      </c>
      <c r="C1" s="12" t="s">
        <v>27</v>
      </c>
      <c r="D1" s="12">
        <v>130</v>
      </c>
      <c r="E1" s="12" t="s">
        <v>57</v>
      </c>
      <c r="F1" s="12">
        <v>30</v>
      </c>
    </row>
    <row r="2" spans="1:6" x14ac:dyDescent="0.25">
      <c r="A2">
        <v>101</v>
      </c>
      <c r="B2" t="s">
        <v>58</v>
      </c>
    </row>
    <row r="3" spans="1:6" x14ac:dyDescent="0.25">
      <c r="A3">
        <v>102</v>
      </c>
      <c r="B3" t="s">
        <v>61</v>
      </c>
    </row>
    <row r="4" spans="1:6" x14ac:dyDescent="0.25">
      <c r="A4">
        <v>103</v>
      </c>
      <c r="B4" t="s">
        <v>62</v>
      </c>
    </row>
    <row r="5" spans="1:6" x14ac:dyDescent="0.25">
      <c r="A5">
        <v>104</v>
      </c>
      <c r="B5" t="s">
        <v>62</v>
      </c>
    </row>
    <row r="6" spans="1:6" x14ac:dyDescent="0.25">
      <c r="A6">
        <v>105</v>
      </c>
      <c r="B6" t="s">
        <v>64</v>
      </c>
    </row>
    <row r="7" spans="1:6" x14ac:dyDescent="0.25">
      <c r="A7">
        <v>106</v>
      </c>
      <c r="B7" t="s">
        <v>65</v>
      </c>
    </row>
    <row r="8" spans="1:6" x14ac:dyDescent="0.25">
      <c r="A8">
        <v>107</v>
      </c>
      <c r="B8" t="s">
        <v>62</v>
      </c>
    </row>
    <row r="9" spans="1:6" x14ac:dyDescent="0.25">
      <c r="A9">
        <v>108</v>
      </c>
      <c r="B9" t="s">
        <v>69</v>
      </c>
    </row>
    <row r="10" spans="1:6" x14ac:dyDescent="0.25">
      <c r="A10">
        <v>109</v>
      </c>
      <c r="B10" t="s">
        <v>70</v>
      </c>
    </row>
    <row r="11" spans="1:6" x14ac:dyDescent="0.25">
      <c r="A11">
        <v>110</v>
      </c>
      <c r="B11" t="s">
        <v>73</v>
      </c>
    </row>
    <row r="12" spans="1:6" x14ac:dyDescent="0.25">
      <c r="A12">
        <v>111</v>
      </c>
      <c r="B12" t="s">
        <v>74</v>
      </c>
    </row>
    <row r="13" spans="1:6" x14ac:dyDescent="0.25">
      <c r="A13">
        <v>112</v>
      </c>
      <c r="B13" t="s">
        <v>75</v>
      </c>
    </row>
    <row r="14" spans="1:6" x14ac:dyDescent="0.25">
      <c r="A14">
        <v>113</v>
      </c>
      <c r="B14" t="s">
        <v>62</v>
      </c>
    </row>
    <row r="15" spans="1:6" x14ac:dyDescent="0.25">
      <c r="A15">
        <v>114</v>
      </c>
      <c r="B15" t="s">
        <v>58</v>
      </c>
    </row>
    <row r="16" spans="1:6" x14ac:dyDescent="0.25">
      <c r="A16">
        <v>115</v>
      </c>
      <c r="B16" t="s">
        <v>79</v>
      </c>
    </row>
    <row r="17" spans="1:2" x14ac:dyDescent="0.25">
      <c r="A17">
        <v>116</v>
      </c>
      <c r="B17" t="s">
        <v>80</v>
      </c>
    </row>
    <row r="18" spans="1:2" x14ac:dyDescent="0.25">
      <c r="A18">
        <v>117</v>
      </c>
      <c r="B18" t="s">
        <v>81</v>
      </c>
    </row>
    <row r="19" spans="1:2" x14ac:dyDescent="0.25">
      <c r="A19">
        <v>118</v>
      </c>
      <c r="B19" t="s">
        <v>84</v>
      </c>
    </row>
    <row r="20" spans="1:2" x14ac:dyDescent="0.25">
      <c r="A20">
        <v>119</v>
      </c>
      <c r="B20" t="s">
        <v>85</v>
      </c>
    </row>
    <row r="21" spans="1:2" x14ac:dyDescent="0.25">
      <c r="A21">
        <v>120</v>
      </c>
      <c r="B21" t="s">
        <v>86</v>
      </c>
    </row>
    <row r="22" spans="1:2" x14ac:dyDescent="0.25">
      <c r="A22">
        <v>121</v>
      </c>
      <c r="B22" t="s">
        <v>87</v>
      </c>
    </row>
    <row r="23" spans="1:2" x14ac:dyDescent="0.25">
      <c r="A23">
        <v>122</v>
      </c>
      <c r="B23" t="s">
        <v>88</v>
      </c>
    </row>
    <row r="24" spans="1:2" x14ac:dyDescent="0.25">
      <c r="A24">
        <v>123</v>
      </c>
      <c r="B24" t="s">
        <v>90</v>
      </c>
    </row>
    <row r="25" spans="1:2" x14ac:dyDescent="0.25">
      <c r="A25">
        <v>124</v>
      </c>
      <c r="B25" t="s">
        <v>90</v>
      </c>
    </row>
    <row r="26" spans="1:2" x14ac:dyDescent="0.25">
      <c r="A26">
        <v>125</v>
      </c>
      <c r="B26" t="s">
        <v>92</v>
      </c>
    </row>
    <row r="27" spans="1:2" x14ac:dyDescent="0.25">
      <c r="A27">
        <v>126</v>
      </c>
      <c r="B27" t="s">
        <v>94</v>
      </c>
    </row>
    <row r="28" spans="1:2" x14ac:dyDescent="0.25">
      <c r="A28">
        <v>127</v>
      </c>
      <c r="B28" t="s">
        <v>95</v>
      </c>
    </row>
    <row r="29" spans="1:2" x14ac:dyDescent="0.25">
      <c r="A29">
        <v>128</v>
      </c>
      <c r="B29" t="s">
        <v>96</v>
      </c>
    </row>
    <row r="30" spans="1:2" x14ac:dyDescent="0.25">
      <c r="A30">
        <v>129</v>
      </c>
      <c r="B30" t="s">
        <v>99</v>
      </c>
    </row>
    <row r="31" spans="1:2" x14ac:dyDescent="0.25">
      <c r="A31">
        <v>130</v>
      </c>
      <c r="B31" t="s">
        <v>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"/>
  <sheetViews>
    <sheetView workbookViewId="0">
      <selection activeCell="A29" sqref="A29"/>
    </sheetView>
  </sheetViews>
  <sheetFormatPr defaultRowHeight="15" x14ac:dyDescent="0.25"/>
  <cols>
    <col min="1" max="16" width="14.7109375" customWidth="1"/>
  </cols>
  <sheetData>
    <row r="1" spans="1:16" x14ac:dyDescent="0.25">
      <c r="A1" s="6" t="s">
        <v>3</v>
      </c>
      <c r="B1" s="6" t="s">
        <v>4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12" t="s">
        <v>46</v>
      </c>
      <c r="P1" s="12">
        <v>2</v>
      </c>
    </row>
    <row r="2" spans="1:16" x14ac:dyDescent="0.25">
      <c r="A2">
        <v>102</v>
      </c>
      <c r="B2" t="s">
        <v>1</v>
      </c>
      <c r="C2">
        <v>12</v>
      </c>
      <c r="D2">
        <v>11</v>
      </c>
      <c r="E2">
        <v>12</v>
      </c>
      <c r="F2">
        <v>12</v>
      </c>
      <c r="G2">
        <v>22</v>
      </c>
      <c r="H2">
        <v>23</v>
      </c>
      <c r="I2">
        <v>22</v>
      </c>
      <c r="J2">
        <v>22</v>
      </c>
      <c r="K2">
        <v>22</v>
      </c>
      <c r="L2">
        <v>12</v>
      </c>
      <c r="M2">
        <v>12</v>
      </c>
      <c r="N2">
        <v>12</v>
      </c>
    </row>
    <row r="3" spans="1:16" x14ac:dyDescent="0.25">
      <c r="A3">
        <v>106</v>
      </c>
      <c r="B3" t="s">
        <v>49</v>
      </c>
      <c r="C3">
        <v>6</v>
      </c>
      <c r="D3">
        <v>0</v>
      </c>
      <c r="E3">
        <v>1</v>
      </c>
      <c r="F3">
        <v>3</v>
      </c>
      <c r="G3">
        <v>1</v>
      </c>
      <c r="H3">
        <v>2</v>
      </c>
      <c r="I3">
        <v>1</v>
      </c>
      <c r="J3">
        <v>2</v>
      </c>
      <c r="K3">
        <v>1</v>
      </c>
      <c r="L3">
        <v>2</v>
      </c>
      <c r="M3">
        <v>1</v>
      </c>
      <c r="N3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activeCell="G4" sqref="G4"/>
    </sheetView>
  </sheetViews>
  <sheetFormatPr defaultRowHeight="15" x14ac:dyDescent="0.25"/>
  <cols>
    <col min="1" max="16" width="14.7109375" customWidth="1"/>
  </cols>
  <sheetData>
    <row r="1" spans="1:16" x14ac:dyDescent="0.25">
      <c r="A1" s="6" t="s">
        <v>3</v>
      </c>
      <c r="B1" s="6" t="s">
        <v>4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12" t="s">
        <v>46</v>
      </c>
      <c r="P1" s="12">
        <v>3</v>
      </c>
    </row>
    <row r="2" spans="1:16" x14ac:dyDescent="0.25">
      <c r="A2">
        <v>101</v>
      </c>
      <c r="B2" t="s">
        <v>0</v>
      </c>
      <c r="C2">
        <v>12</v>
      </c>
      <c r="D2">
        <v>12</v>
      </c>
      <c r="E2">
        <v>12</v>
      </c>
      <c r="F2">
        <v>13</v>
      </c>
      <c r="G2">
        <v>22</v>
      </c>
      <c r="H2">
        <v>22</v>
      </c>
      <c r="I2">
        <v>22</v>
      </c>
      <c r="J2">
        <v>22</v>
      </c>
      <c r="K2">
        <v>22</v>
      </c>
      <c r="L2">
        <v>12</v>
      </c>
      <c r="M2">
        <v>12</v>
      </c>
      <c r="N2">
        <v>12</v>
      </c>
    </row>
    <row r="3" spans="1:16" x14ac:dyDescent="0.25">
      <c r="A3">
        <v>102</v>
      </c>
      <c r="B3" t="s">
        <v>1</v>
      </c>
      <c r="C3">
        <v>11</v>
      </c>
      <c r="D3">
        <v>12</v>
      </c>
      <c r="E3">
        <v>12</v>
      </c>
      <c r="F3">
        <v>15</v>
      </c>
      <c r="G3">
        <v>22</v>
      </c>
      <c r="H3">
        <v>22</v>
      </c>
      <c r="I3">
        <v>22</v>
      </c>
      <c r="J3">
        <v>27</v>
      </c>
      <c r="K3">
        <v>22</v>
      </c>
      <c r="L3">
        <v>12</v>
      </c>
      <c r="M3">
        <v>12</v>
      </c>
      <c r="N3">
        <v>12</v>
      </c>
    </row>
    <row r="4" spans="1:16" x14ac:dyDescent="0.25">
      <c r="A4">
        <v>103</v>
      </c>
      <c r="B4" t="s">
        <v>2</v>
      </c>
      <c r="C4">
        <v>11</v>
      </c>
      <c r="D4">
        <v>11</v>
      </c>
      <c r="E4">
        <v>11</v>
      </c>
      <c r="F4">
        <v>11</v>
      </c>
      <c r="G4">
        <v>11</v>
      </c>
      <c r="H4">
        <v>9</v>
      </c>
      <c r="I4">
        <v>8</v>
      </c>
      <c r="J4">
        <v>8</v>
      </c>
      <c r="K4">
        <v>11</v>
      </c>
      <c r="L4">
        <v>11</v>
      </c>
      <c r="M4">
        <v>11</v>
      </c>
      <c r="N4">
        <v>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"/>
  <sheetViews>
    <sheetView workbookViewId="0">
      <selection activeCell="F15" sqref="F15"/>
    </sheetView>
  </sheetViews>
  <sheetFormatPr defaultRowHeight="15" x14ac:dyDescent="0.25"/>
  <cols>
    <col min="1" max="1" width="14.7109375" customWidth="1"/>
    <col min="2" max="2" width="29.140625" customWidth="1"/>
    <col min="3" max="16" width="14.7109375" customWidth="1"/>
  </cols>
  <sheetData>
    <row r="1" spans="1:16" x14ac:dyDescent="0.25">
      <c r="A1" s="6" t="s">
        <v>3</v>
      </c>
      <c r="B1" s="6" t="s">
        <v>4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12" t="s">
        <v>46</v>
      </c>
      <c r="P1" s="12">
        <v>7</v>
      </c>
    </row>
    <row r="2" spans="1:16" x14ac:dyDescent="0.25">
      <c r="A2">
        <v>101</v>
      </c>
      <c r="B2" t="s">
        <v>0</v>
      </c>
      <c r="C2">
        <v>12</v>
      </c>
      <c r="D2">
        <v>12</v>
      </c>
      <c r="E2">
        <v>12</v>
      </c>
      <c r="F2">
        <v>12</v>
      </c>
      <c r="G2">
        <v>22</v>
      </c>
      <c r="H2">
        <v>22</v>
      </c>
      <c r="I2">
        <v>22</v>
      </c>
      <c r="J2">
        <v>22</v>
      </c>
      <c r="K2">
        <v>22</v>
      </c>
      <c r="L2">
        <v>12</v>
      </c>
      <c r="M2">
        <v>12</v>
      </c>
      <c r="N2">
        <v>12</v>
      </c>
    </row>
    <row r="3" spans="1:16" x14ac:dyDescent="0.25">
      <c r="A3">
        <v>102</v>
      </c>
      <c r="B3" t="s">
        <v>1</v>
      </c>
      <c r="C3">
        <v>12</v>
      </c>
      <c r="D3">
        <v>12</v>
      </c>
      <c r="E3">
        <v>12</v>
      </c>
      <c r="F3">
        <v>12</v>
      </c>
      <c r="G3">
        <v>22</v>
      </c>
      <c r="H3">
        <v>22</v>
      </c>
      <c r="I3">
        <v>22</v>
      </c>
      <c r="J3">
        <v>22</v>
      </c>
      <c r="K3">
        <v>22</v>
      </c>
      <c r="L3">
        <v>12</v>
      </c>
      <c r="M3">
        <v>12</v>
      </c>
      <c r="N3">
        <v>12</v>
      </c>
    </row>
    <row r="4" spans="1:16" x14ac:dyDescent="0.25">
      <c r="A4">
        <v>103</v>
      </c>
      <c r="B4" t="s">
        <v>2</v>
      </c>
      <c r="C4">
        <v>15</v>
      </c>
      <c r="D4">
        <v>15</v>
      </c>
      <c r="E4">
        <v>15</v>
      </c>
      <c r="F4">
        <v>15</v>
      </c>
      <c r="G4">
        <v>15</v>
      </c>
      <c r="H4">
        <v>15</v>
      </c>
      <c r="I4">
        <v>15</v>
      </c>
      <c r="J4">
        <v>15</v>
      </c>
      <c r="K4">
        <v>15</v>
      </c>
      <c r="L4">
        <v>15</v>
      </c>
      <c r="M4">
        <v>15</v>
      </c>
      <c r="N4">
        <v>15</v>
      </c>
    </row>
    <row r="5" spans="1:16" x14ac:dyDescent="0.25">
      <c r="A5">
        <v>105</v>
      </c>
      <c r="B5" t="s">
        <v>35</v>
      </c>
      <c r="C5">
        <v>18</v>
      </c>
      <c r="D5">
        <v>15</v>
      </c>
      <c r="E5">
        <v>15</v>
      </c>
      <c r="F5">
        <v>15</v>
      </c>
      <c r="G5">
        <v>15</v>
      </c>
      <c r="H5">
        <v>15</v>
      </c>
      <c r="I5">
        <v>15</v>
      </c>
      <c r="J5">
        <v>15</v>
      </c>
      <c r="K5">
        <v>15</v>
      </c>
      <c r="L5">
        <v>15</v>
      </c>
      <c r="M5">
        <v>15</v>
      </c>
      <c r="N5">
        <v>15</v>
      </c>
    </row>
    <row r="6" spans="1:16" x14ac:dyDescent="0.25">
      <c r="A6">
        <v>109</v>
      </c>
      <c r="B6" t="s">
        <v>51</v>
      </c>
      <c r="C6">
        <v>15</v>
      </c>
      <c r="D6">
        <v>15</v>
      </c>
      <c r="E6">
        <v>15</v>
      </c>
      <c r="F6">
        <v>15</v>
      </c>
      <c r="G6">
        <v>15</v>
      </c>
      <c r="H6">
        <v>15</v>
      </c>
      <c r="I6">
        <v>15</v>
      </c>
      <c r="J6">
        <v>15</v>
      </c>
      <c r="K6">
        <v>15</v>
      </c>
      <c r="L6">
        <v>15</v>
      </c>
      <c r="M6">
        <v>15</v>
      </c>
      <c r="N6">
        <v>15</v>
      </c>
    </row>
    <row r="7" spans="1:16" x14ac:dyDescent="0.25">
      <c r="A7">
        <v>112</v>
      </c>
      <c r="B7" t="s">
        <v>54</v>
      </c>
      <c r="C7">
        <v>15</v>
      </c>
      <c r="D7">
        <v>15</v>
      </c>
      <c r="E7">
        <v>15</v>
      </c>
      <c r="F7">
        <v>15</v>
      </c>
      <c r="G7">
        <v>15</v>
      </c>
      <c r="H7">
        <v>15</v>
      </c>
      <c r="I7">
        <v>15</v>
      </c>
      <c r="J7">
        <v>15</v>
      </c>
      <c r="K7">
        <v>15</v>
      </c>
      <c r="L7">
        <v>15</v>
      </c>
      <c r="M7">
        <v>15</v>
      </c>
      <c r="N7">
        <v>15</v>
      </c>
    </row>
    <row r="8" spans="1:16" x14ac:dyDescent="0.25">
      <c r="A8">
        <v>119</v>
      </c>
      <c r="B8" t="s">
        <v>82</v>
      </c>
      <c r="C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"/>
  <sheetViews>
    <sheetView workbookViewId="0">
      <selection activeCell="F41" sqref="F41"/>
    </sheetView>
  </sheetViews>
  <sheetFormatPr defaultRowHeight="15" x14ac:dyDescent="0.25"/>
  <cols>
    <col min="1" max="16" width="14.7109375" customWidth="1"/>
  </cols>
  <sheetData>
    <row r="1" spans="1:16" x14ac:dyDescent="0.25">
      <c r="A1" s="6" t="s">
        <v>3</v>
      </c>
      <c r="B1" s="6" t="s">
        <v>4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6" t="s">
        <v>16</v>
      </c>
      <c r="I1" s="6" t="s">
        <v>17</v>
      </c>
      <c r="J1" s="6" t="s">
        <v>18</v>
      </c>
      <c r="K1" s="6" t="s">
        <v>19</v>
      </c>
      <c r="L1" s="6" t="s">
        <v>20</v>
      </c>
      <c r="M1" s="6" t="s">
        <v>21</v>
      </c>
      <c r="N1" s="6" t="s">
        <v>22</v>
      </c>
      <c r="O1" s="12" t="s">
        <v>46</v>
      </c>
      <c r="P1" s="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Nuevo Producto</vt:lpstr>
      <vt:lpstr>Eliminar Producto</vt:lpstr>
      <vt:lpstr>Editar Producto</vt:lpstr>
      <vt:lpstr>Agregar Venta</vt:lpstr>
      <vt:lpstr>Grafica Mes</vt:lpstr>
      <vt:lpstr>Productos</vt:lpstr>
      <vt:lpstr>Registros</vt:lpstr>
      <vt:lpstr>2013</vt:lpstr>
      <vt:lpstr>2014</vt:lpstr>
      <vt:lpstr>2015</vt:lpstr>
      <vt:lpstr>Plantilla Anyo</vt:lpstr>
      <vt:lpstr>AgregarVenta_Anyo</vt:lpstr>
      <vt:lpstr>AgregarVenta_HojaProductosFila</vt:lpstr>
      <vt:lpstr>AgregarVenta_ID</vt:lpstr>
      <vt:lpstr>AgregarVenta_Mes</vt:lpstr>
      <vt:lpstr>AgregarVenta_MesVenta</vt:lpstr>
      <vt:lpstr>AgregarVenta_ProductoFila</vt:lpstr>
      <vt:lpstr>AgregarVenta_UnidadesVendidas</vt:lpstr>
      <vt:lpstr>EditarProducto_Descripcion</vt:lpstr>
      <vt:lpstr>EditarProducto_HojaProductosFila</vt:lpstr>
      <vt:lpstr>EditarProducto_Nombre</vt:lpstr>
      <vt:lpstr>EditarProducto_PrecioUnidad</vt:lpstr>
      <vt:lpstr>EliminarProducto_HojaProductosFila</vt:lpstr>
      <vt:lpstr>GraficaMes_Anyo</vt:lpstr>
      <vt:lpstr>GraficaMes_HojaProductosFila</vt:lpstr>
      <vt:lpstr>GraficaMes_Mensaje</vt:lpstr>
      <vt:lpstr>GraficaMes_ProductosCantidad</vt:lpstr>
      <vt:lpstr>NuevoProducto_Descripcion</vt:lpstr>
      <vt:lpstr>NuevoProducto_Nombre</vt:lpstr>
      <vt:lpstr>NuevoProducto_PrecioUnidad</vt:lpstr>
      <vt:lpstr>Producto_Fila</vt:lpstr>
      <vt:lpstr>Producto_NumeroFila</vt:lpstr>
      <vt:lpstr>Productos_Cantidad</vt:lpstr>
      <vt:lpstr>Productos_IdContador</vt:lpstr>
      <vt:lpstr>Registros_Cantidad</vt:lpstr>
      <vt:lpstr>Registros_IdContador</vt:lpstr>
      <vt:lpstr>Unidades_Vendidas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kk</cp:lastModifiedBy>
  <dcterms:created xsi:type="dcterms:W3CDTF">2015-11-25T12:20:15Z</dcterms:created>
  <dcterms:modified xsi:type="dcterms:W3CDTF">2015-11-26T23:00:41Z</dcterms:modified>
</cp:coreProperties>
</file>